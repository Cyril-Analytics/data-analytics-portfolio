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pivotCache/pivotCacheRecords2.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pivotTables/pivotTable1.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2.xml" ContentType="application/vnd.openxmlformats-officedocument.drawingml.chartshapes+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drawings/drawing3.xml" ContentType="application/vnd.openxmlformats-officedocument.drawingml.chartshapes+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pivotTables/pivotTable7.xml" ContentType="application/vnd.openxmlformats-officedocument.spreadsheetml.pivotTable+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pivotTables/pivotTable8.xml" ContentType="application/vnd.openxmlformats-officedocument.spreadsheetml.pivotTable+xml"/>
  <Override PartName="/xl/pivotTables/pivotTable9.xml" ContentType="application/vnd.openxmlformats-officedocument.spreadsheetml.pivotTable+xml"/>
  <Override PartName="/xl/pivotTables/pivotTable10.xml" ContentType="application/vnd.openxmlformats-officedocument.spreadsheetml.pivotTable+xml"/>
  <Override PartName="/xl/drawings/drawing4.xml" ContentType="application/vnd.openxmlformats-officedocument.drawing+xml"/>
  <Override PartName="/xl/slicers/slicer2.xml" ContentType="application/vnd.ms-excel.slicer+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5.xml" ContentType="application/vnd.openxmlformats-officedocument.drawingml.chartshapes+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pivotTables/pivotTable11.xml" ContentType="application/vnd.openxmlformats-officedocument.spreadsheetml.pivotTable+xml"/>
  <Override PartName="/xl/tables/table4.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32" codeName="{372AB895-14C1-FC20-EB20-F1B4BCFD95AE}"/>
  <workbookPr codeName="ThisWorkbook" defaultThemeVersion="202300"/>
  <mc:AlternateContent xmlns:mc="http://schemas.openxmlformats.org/markup-compatibility/2006">
    <mc:Choice Requires="x15">
      <x15ac:absPath xmlns:x15ac="http://schemas.microsoft.com/office/spreadsheetml/2010/11/ac" url="C:\Users\hp\Documents\Excel\Family Savings Tracking sheet\Family Savings Macro File\"/>
    </mc:Choice>
  </mc:AlternateContent>
  <xr:revisionPtr revIDLastSave="0" documentId="13_ncr:1_{04090450-124A-4F5D-8FA8-7E67FDC1DACC}" xr6:coauthVersionLast="47" xr6:coauthVersionMax="47" xr10:uidLastSave="{00000000-0000-0000-0000-000000000000}"/>
  <bookViews>
    <workbookView xWindow="-120" yWindow="-120" windowWidth="20730" windowHeight="11040" activeTab="1" xr2:uid="{60EC229F-6D69-4A5E-90CA-BB09014AED9D}"/>
  </bookViews>
  <sheets>
    <sheet name="PT_Transactions" sheetId="6" r:id="rId1"/>
    <sheet name="Dashboad_Overview" sheetId="10" r:id="rId2"/>
    <sheet name="PT_Weekly_Compliance" sheetId="7" r:id="rId3"/>
    <sheet name="PT_Missed_Weeks" sheetId="8" r:id="rId4"/>
    <sheet name="PT_Payment_Behaviour" sheetId="9" r:id="rId5"/>
    <sheet name="PT_Cummulative_Savings" sheetId="11" r:id="rId6"/>
    <sheet name="PT_Actual_vs_Expected" sheetId="13" r:id="rId7"/>
    <sheet name="Savings_Transactions" sheetId="1" r:id="rId8"/>
    <sheet name="Saver_Status_Summary" sheetId="5" r:id="rId9"/>
    <sheet name="Savers" sheetId="2" r:id="rId10"/>
    <sheet name="Weekly_Target" sheetId="3" r:id="rId11"/>
    <sheet name="PT_USD_Summary" sheetId="14" r:id="rId12"/>
    <sheet name="PT_Naira_Usage" sheetId="15" r:id="rId13"/>
    <sheet name="PT_Exchange_Rate" sheetId="16" r:id="rId14"/>
    <sheet name="Dashboard_FX" sheetId="18" r:id="rId15"/>
    <sheet name="PT_Purchase_Frequency" sheetId="17" r:id="rId16"/>
    <sheet name="Dollar Purchase" sheetId="4" r:id="rId17"/>
  </sheets>
  <definedNames>
    <definedName name="BulkMin">Weekly_Target!$B$6</definedName>
    <definedName name="CatchUpMax">Weekly_Target!$B$5</definedName>
    <definedName name="CatcUpMin">Weekly_Target!$B$4</definedName>
    <definedName name="SaversList">tblSavers[Saver_Name]</definedName>
    <definedName name="Slicer_Month">#N/A</definedName>
    <definedName name="Slicer_Month1">#N/A</definedName>
    <definedName name="Slicer_Payment_Type">#N/A</definedName>
    <definedName name="Slicer_Saver_Name">#N/A</definedName>
    <definedName name="WeeklyAmount">Weekly_Target!$B$2</definedName>
    <definedName name="WeeksPerYear">Weekly_Target!$B$3</definedName>
  </definedNames>
  <calcPr calcId="191029"/>
  <pivotCaches>
    <pivotCache cacheId="0" r:id="rId18"/>
    <pivotCache cacheId="1" r:id="rId19"/>
  </pivotCaches>
  <extLst>
    <ext xmlns:x14="http://schemas.microsoft.com/office/spreadsheetml/2009/9/main" uri="{BBE1A952-AA13-448e-AADC-164F8A28A991}">
      <x14:slicerCaches>
        <x14:slicerCache r:id="rId20"/>
        <x14:slicerCache r:id="rId21"/>
        <x14:slicerCache r:id="rId22"/>
        <x14:slicerCache r:id="rId23"/>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9" i="1" l="1"/>
  <c r="C9" i="1"/>
  <c r="D9" i="1"/>
  <c r="G9" i="1"/>
  <c r="H9" i="1"/>
  <c r="J9" i="1" s="1"/>
  <c r="I9" i="1"/>
  <c r="M9" i="1"/>
  <c r="C2" i="4"/>
  <c r="C3" i="4"/>
  <c r="C4" i="4"/>
  <c r="C5" i="4"/>
  <c r="B6" i="5"/>
  <c r="A5" i="4" a="1"/>
  <c r="A5" i="4" s="1"/>
  <c r="A4" i="4" a="1"/>
  <c r="A4" i="4" s="1"/>
  <c r="A8" i="1"/>
  <c r="C8" i="1"/>
  <c r="I8" i="1" s="1"/>
  <c r="D8" i="1"/>
  <c r="G8" i="1"/>
  <c r="M8" i="1"/>
  <c r="A7" i="1"/>
  <c r="C7" i="1"/>
  <c r="D7" i="1"/>
  <c r="G7" i="1"/>
  <c r="M7" i="1"/>
  <c r="A6" i="1"/>
  <c r="C6" i="1"/>
  <c r="D6" i="1"/>
  <c r="G6" i="1"/>
  <c r="M6" i="1"/>
  <c r="A3" i="4" a="1"/>
  <c r="A3" i="4" s="1"/>
  <c r="A5" i="1"/>
  <c r="C5" i="1"/>
  <c r="D5" i="1"/>
  <c r="G5" i="1"/>
  <c r="M5" i="1"/>
  <c r="A4" i="1"/>
  <c r="C4" i="1"/>
  <c r="D4" i="1"/>
  <c r="G4" i="1"/>
  <c r="M4" i="1"/>
  <c r="C2" i="1"/>
  <c r="I2" i="1" s="1"/>
  <c r="A2" i="4" a="1"/>
  <c r="A2" i="4" s="1"/>
  <c r="K2" i="4" s="1" a="1"/>
  <c r="K2" i="4" s="1"/>
  <c r="M2" i="1"/>
  <c r="M3" i="1"/>
  <c r="A2" i="2" a="1"/>
  <c r="A2" i="2" s="1"/>
  <c r="A3" i="2" a="1"/>
  <c r="A3" i="2" s="1"/>
  <c r="A4" i="2" a="1"/>
  <c r="A4" i="2" s="1"/>
  <c r="A5" i="2" a="1"/>
  <c r="A5" i="2" s="1"/>
  <c r="A6" i="2" a="1"/>
  <c r="A6" i="2" s="1"/>
  <c r="G2" i="1"/>
  <c r="G3" i="1"/>
  <c r="A3" i="1"/>
  <c r="A2" i="1"/>
  <c r="D2" i="1"/>
  <c r="D3" i="1"/>
  <c r="C3" i="1"/>
  <c r="I3" i="1" s="1"/>
  <c r="A18" i="13"/>
  <c r="K9" i="1" l="1"/>
  <c r="L9" i="1"/>
  <c r="B5" i="5"/>
  <c r="H8" i="1"/>
  <c r="J8" i="1" s="1"/>
  <c r="L8" i="1" s="1"/>
  <c r="H7" i="1"/>
  <c r="H5" i="1"/>
  <c r="B4" i="5"/>
  <c r="B3" i="5"/>
  <c r="B2" i="5"/>
  <c r="C6" i="5" a="1"/>
  <c r="C6" i="5" s="1"/>
  <c r="K5" i="4" a="1"/>
  <c r="K5" i="4" s="1"/>
  <c r="E5" i="4"/>
  <c r="K4" i="4" a="1"/>
  <c r="K4" i="4" s="1"/>
  <c r="E4" i="4"/>
  <c r="I5" i="1"/>
  <c r="H6" i="1"/>
  <c r="I7" i="1"/>
  <c r="I6" i="1"/>
  <c r="K3" i="4" a="1"/>
  <c r="K3" i="4" s="1"/>
  <c r="E3" i="4"/>
  <c r="H4" i="1"/>
  <c r="H2" i="1"/>
  <c r="J2" i="1" s="1"/>
  <c r="H3" i="1"/>
  <c r="J3" i="1" s="1"/>
  <c r="L3" i="1" s="1"/>
  <c r="I4" i="1"/>
  <c r="E2" i="4"/>
  <c r="F2" i="4" s="1"/>
  <c r="C5" i="5" l="1" a="1"/>
  <c r="C5" i="5" s="1"/>
  <c r="D6" i="5" a="1"/>
  <c r="D6" i="5" s="1"/>
  <c r="E6" i="5" a="1"/>
  <c r="E6" i="5" s="1"/>
  <c r="F6" i="5" a="1"/>
  <c r="F6" i="5" s="1"/>
  <c r="J6" i="1"/>
  <c r="E5" i="5" s="1" a="1"/>
  <c r="E5" i="5" s="1"/>
  <c r="K8" i="1"/>
  <c r="J7" i="1"/>
  <c r="L7" i="1" s="1"/>
  <c r="F4" i="5" s="1" a="1"/>
  <c r="F4" i="5" s="1"/>
  <c r="J5" i="1"/>
  <c r="L5" i="1" s="1"/>
  <c r="D4" i="5" a="1"/>
  <c r="D4" i="5" s="1"/>
  <c r="C4" i="5" a="1"/>
  <c r="C4" i="5" s="1"/>
  <c r="C2" i="5" a="1"/>
  <c r="C2" i="5" s="1"/>
  <c r="E2" i="5" a="1"/>
  <c r="E2" i="5" s="1"/>
  <c r="D2" i="5" a="1"/>
  <c r="D2" i="5" s="1"/>
  <c r="D3" i="5" a="1"/>
  <c r="D3" i="5" s="1"/>
  <c r="C3" i="5" a="1"/>
  <c r="C3" i="5" s="1"/>
  <c r="E3" i="5" a="1"/>
  <c r="E3" i="5" s="1"/>
  <c r="D5" i="5" a="1"/>
  <c r="D5" i="5" s="1"/>
  <c r="G5" i="4"/>
  <c r="H5" i="4" s="1"/>
  <c r="I5" i="4" s="1"/>
  <c r="F5" i="4"/>
  <c r="F4" i="4"/>
  <c r="G4" i="4"/>
  <c r="H4" i="4" s="1"/>
  <c r="I4" i="4" s="1"/>
  <c r="G3" i="4"/>
  <c r="H3" i="4" s="1"/>
  <c r="I3" i="4" s="1"/>
  <c r="F3" i="4"/>
  <c r="J4" i="1"/>
  <c r="G2" i="4"/>
  <c r="K3" i="1"/>
  <c r="L2" i="1"/>
  <c r="F2" i="5" s="1" a="1"/>
  <c r="F2" i="5" s="1"/>
  <c r="K2" i="1"/>
  <c r="F3" i="5" l="1" a="1"/>
  <c r="F3" i="5" s="1"/>
  <c r="H2" i="4"/>
  <c r="B2" i="18"/>
  <c r="E4" i="5" a="1"/>
  <c r="E4" i="5" s="1"/>
  <c r="K6" i="1"/>
  <c r="K5" i="1"/>
  <c r="K7" i="1"/>
  <c r="L6" i="1"/>
  <c r="F5" i="5" s="1" a="1"/>
  <c r="F5" i="5" s="1"/>
  <c r="K4" i="1"/>
  <c r="L4" i="1"/>
  <c r="I2" i="4" l="1"/>
  <c r="C2" i="18"/>
  <c r="D2" i="18" a="1"/>
  <c r="D2" i="18" s="1"/>
  <c r="J5" i="4" l="1"/>
  <c r="E2" i="18" s="1" a="1"/>
  <c r="E2" i="18" s="1"/>
  <c r="J3" i="4"/>
  <c r="J4" i="4"/>
  <c r="J2" i="4"/>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<sst xmlns="http://schemas.openxmlformats.org/spreadsheetml/2006/main" count="180" uniqueCount="90">
  <si>
    <t>Transaction_ID</t>
  </si>
  <si>
    <t>Date</t>
  </si>
  <si>
    <t>Week_Number</t>
  </si>
  <si>
    <t>Month</t>
  </si>
  <si>
    <t>Saver_Name</t>
  </si>
  <si>
    <t>Amount_Paid_NGN</t>
  </si>
  <si>
    <t>Payment_Type</t>
  </si>
  <si>
    <t>Received_By</t>
  </si>
  <si>
    <t>Notes</t>
  </si>
  <si>
    <t>Cyril</t>
  </si>
  <si>
    <t>Januaray bulk payment</t>
  </si>
  <si>
    <t>Missed week 1</t>
  </si>
  <si>
    <t>Cecilia</t>
  </si>
  <si>
    <t>Equivalent_Weeks_Paid</t>
  </si>
  <si>
    <t>Equivalent_Weeks_To_Date</t>
  </si>
  <si>
    <t>Weeks_Variance</t>
  </si>
  <si>
    <t>Status</t>
  </si>
  <si>
    <t>Missed_Weeks</t>
  </si>
  <si>
    <t>Saver_ID</t>
  </si>
  <si>
    <t>Contact</t>
  </si>
  <si>
    <t>Start_Date</t>
  </si>
  <si>
    <t>Role</t>
  </si>
  <si>
    <t>Payment Preference</t>
  </si>
  <si>
    <t>Target Behaviour</t>
  </si>
  <si>
    <t>Hilda</t>
  </si>
  <si>
    <t>Bibiana</t>
  </si>
  <si>
    <t>Paschal</t>
  </si>
  <si>
    <t>Preferred_Payment_Type</t>
  </si>
  <si>
    <t>Target_Weeks_Per_Year</t>
  </si>
  <si>
    <t>Bulk</t>
  </si>
  <si>
    <t>10-Jan_2026</t>
  </si>
  <si>
    <t>Active</t>
  </si>
  <si>
    <t>Member</t>
  </si>
  <si>
    <t>Catch-up</t>
  </si>
  <si>
    <t>Parameter</t>
  </si>
  <si>
    <t>Value</t>
  </si>
  <si>
    <t>Weekly_Amount</t>
  </si>
  <si>
    <t>Weeks_Per_Year</t>
  </si>
  <si>
    <t>CatchUp_Min</t>
  </si>
  <si>
    <t>CatcUp_Max</t>
  </si>
  <si>
    <t>Bulk_Min</t>
  </si>
  <si>
    <t>Actual_Weeks_Paid</t>
  </si>
  <si>
    <t>Naira_Amount</t>
  </si>
  <si>
    <t>Exchange_Rate</t>
  </si>
  <si>
    <t>USD_Amount</t>
  </si>
  <si>
    <t>Naira_Used</t>
  </si>
  <si>
    <t>Naira_Rollover</t>
  </si>
  <si>
    <t>Contributors</t>
  </si>
  <si>
    <t>Week 2 savings purchase</t>
  </si>
  <si>
    <t>Dollar_Purchase_ID</t>
  </si>
  <si>
    <t>D001</t>
  </si>
  <si>
    <t>Purchase_Date</t>
  </si>
  <si>
    <t>Cummulative_Rollover</t>
  </si>
  <si>
    <t>Available_Naira</t>
  </si>
  <si>
    <t>Paying ahead</t>
  </si>
  <si>
    <t>Complete Januray Savings</t>
  </si>
  <si>
    <t>D002</t>
  </si>
  <si>
    <t>Week 5 savings purchase</t>
  </si>
  <si>
    <t>D003</t>
  </si>
  <si>
    <t>Family</t>
  </si>
  <si>
    <t>D004</t>
  </si>
  <si>
    <t>Feb Savings</t>
  </si>
  <si>
    <t>Week 6 savings purchase</t>
  </si>
  <si>
    <t>Latest_week</t>
  </si>
  <si>
    <t>Actual_Weeks_paid</t>
  </si>
  <si>
    <t>Expected_Weeks_To_Date</t>
  </si>
  <si>
    <t>Row Labels</t>
  </si>
  <si>
    <t>Grand Total</t>
  </si>
  <si>
    <t>Sum of Amount_Paid_NGN</t>
  </si>
  <si>
    <t>Sum of Equivalent_Weeks_Paid</t>
  </si>
  <si>
    <t>Column Labels</t>
  </si>
  <si>
    <t>Total Sum of Amount_Paid_NGN</t>
  </si>
  <si>
    <t>(All)</t>
  </si>
  <si>
    <t>Number of Savers Paid</t>
  </si>
  <si>
    <t>Max Missed Weeks</t>
  </si>
  <si>
    <t>Number of Payments</t>
  </si>
  <si>
    <t>Total Number of Payments</t>
  </si>
  <si>
    <t>Actual Equivalent Weeks</t>
  </si>
  <si>
    <t>Equivalent Weeks To Date</t>
  </si>
  <si>
    <t>Sum of USD_Amount</t>
  </si>
  <si>
    <t>Count of Dollar_Purchase_ID</t>
  </si>
  <si>
    <t>Jan</t>
  </si>
  <si>
    <t>Total Naira Used</t>
  </si>
  <si>
    <t>Total Naira Rolled Over</t>
  </si>
  <si>
    <t>Average Exchang Rate</t>
  </si>
  <si>
    <t>KPIs</t>
  </si>
  <si>
    <t>Average Exchnage Rate</t>
  </si>
  <si>
    <t xml:space="preserve">Current Rollover Balance </t>
  </si>
  <si>
    <t>Weekly</t>
  </si>
  <si>
    <t>Savings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</si>
</sst>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5">
    <numFmt numFmtId="44" formatCode="_(&quot;$&quot;* #,##0.00_);_(&quot;$&quot;* \(#,##0.00\);_(&quot;$&quot;* &quot;-&quot;??_);_(@_)"/>
    <numFmt numFmtId="164" formatCode="[$-409]d\-mmm\-yyyy;@"/>
    <numFmt numFmtId="165" formatCode="&quot;$&quot;#,##0.00"/>
    <numFmt numFmtId="166" formatCode="[$₦-46A]#,##0.00"/>
    <numFmt numFmtId="167" formatCode="[$₦-46A]#,##0"/>
  </numFmts>
  <fonts count="4" x14ac:knownFonts="1">
    <font>
      <sz val="11"/>
      <color theme="1"/>
      <name val="Aptos Narrow"/>
      <family val="2"/>
      <scheme val="minor"/>
    </font>
    <font>
      <b/>
      <sz val="11"/>
      <color theme="1"/>
      <name val="Aptos Narrow"/>
      <family val="2"/>
      <scheme val="minor"/>
    </font>
    <font>
      <sz val="11"/>
      <color theme="1"/>
      <name val="Aptos Narrow"/>
      <family val="2"/>
      <scheme val="minor"/>
    </font>
    <font>
      <b/>
      <sz val="16"/>
      <color theme="1"/>
      <name val="Aptos Narrow"/>
      <family val="2"/>
      <scheme val="minor"/>
    </font>
  </fonts>
  <fills count="2">
    <fill>
      <patternFill patternType="none"/>
    </fill>
    <fill>
      <patternFill patternType="gray125"/>
    </fill>
  </fills>
  <borders count="1">
    <border>
      <left/>
      <right/>
      <top/>
      <bottom/>
      <diagonal/>
    </border>
  </borders>
  <cellStyleXfs count="2">
    <xf numFmtId="0" fontId="0" fillId="0" borderId="0"/>
    <xf numFmtId="44" fontId="2" fillId="0" borderId="0" applyFont="0" applyFill="0" applyBorder="0" applyAlignment="0" applyProtection="0"/>
  </cellStyleXfs>
  <cellXfs count="19">
    <xf numFmtId="0" fontId="0" fillId="0" borderId="0" xfId="0"/>
    <xf numFmtId="0" fontId="1" fillId="0" borderId="0" xfId="0" applyFont="1"/>
    <xf numFmtId="1" fontId="1" fillId="0" borderId="0" xfId="0" applyNumberFormat="1" applyFont="1"/>
    <xf numFmtId="1" fontId="0" fillId="0" borderId="0" xfId="0" applyNumberFormat="1"/>
    <xf numFmtId="0" fontId="1" fillId="0" borderId="0" xfId="0" applyFont="1" applyAlignment="1">
      <alignment horizontal="center"/>
    </xf>
    <xf numFmtId="0" fontId="0" fillId="0" borderId="0" xfId="0" applyAlignment="1">
      <alignment horizontal="center"/>
    </xf>
    <xf numFmtId="164" fontId="1" fillId="0" borderId="0" xfId="0" applyNumberFormat="1" applyFont="1" applyAlignment="1">
      <alignment horizontal="center"/>
    </xf>
    <xf numFmtId="164" fontId="0" fillId="0" borderId="0" xfId="0" applyNumberFormat="1" applyAlignment="1">
      <alignment horizontal="center"/>
    </xf>
    <xf numFmtId="164" fontId="0" fillId="0" borderId="0" xfId="0" applyNumberFormat="1"/>
    <xf numFmtId="2" fontId="0" fillId="0" borderId="0" xfId="0" applyNumberFormat="1"/>
    <xf numFmtId="0" fontId="0" fillId="0" borderId="0" xfId="0" applyNumberFormat="1" applyAlignment="1">
      <alignment horizontal="center"/>
    </xf>
    <xf numFmtId="0" fontId="0" fillId="0" borderId="0" xfId="0" applyNumberFormat="1"/>
    <xf numFmtId="0" fontId="0" fillId="0" borderId="0" xfId="0" pivotButton="1"/>
    <xf numFmtId="0" fontId="0" fillId="0" borderId="0" xfId="0" applyAlignment="1">
      <alignment horizontal="left"/>
    </xf>
    <xf numFmtId="164" fontId="0" fillId="0" borderId="0" xfId="0" applyNumberFormat="1" applyAlignment="1">
      <alignment horizontal="left" indent="1"/>
    </xf>
    <xf numFmtId="165" fontId="3" fillId="0" borderId="0" xfId="0" applyNumberFormat="1" applyFont="1"/>
    <xf numFmtId="166" fontId="3" fillId="0" borderId="0" xfId="0" applyNumberFormat="1" applyFont="1"/>
    <xf numFmtId="166" fontId="3" fillId="0" borderId="0" xfId="1" applyNumberFormat="1" applyFont="1"/>
    <xf numFmtId="167" fontId="0" fillId="0" borderId="0" xfId="0" applyNumberFormat="1"/>
  </cellXfs>
  <cellStyles count="2">
    <cellStyle name="Currency" xfId="1" builtinId="4"/>
    <cellStyle name="Normal" xfId="0" builtinId="0"/>
  </cellStyles>
  <dxfs count="48">
    <dxf>
      <numFmt numFmtId="0" formatCode="General"/>
    </dxf>
    <dxf>
      <numFmt numFmtId="0" formatCode="General"/>
    </dxf>
    <dxf>
      <numFmt numFmtId="0" formatCode="General"/>
    </dxf>
    <dxf>
      <numFmt numFmtId="0" formatCode="General"/>
    </dxf>
    <dxf>
      <numFmt numFmtId="0" formatCode="General"/>
    </dxf>
    <dxf>
      <numFmt numFmtId="0" formatCode="General"/>
    </dxf>
    <dxf>
      <numFmt numFmtId="2" formatCode="0.00"/>
    </dxf>
    <dxf>
      <numFmt numFmtId="2" formatCode="0.00"/>
    </dxf>
    <dxf>
      <numFmt numFmtId="1" formatCode="0"/>
    </dxf>
    <dxf>
      <numFmt numFmtId="1" formatCode="0"/>
    </dxf>
    <dxf>
      <numFmt numFmtId="0" formatCode="General"/>
    </dxf>
    <dxf>
      <numFmt numFmtId="0" formatCode="General"/>
    </dxf>
    <dxf>
      <numFmt numFmtId="164" formatCode="[$-409]d\-mmm\-yyyy;@"/>
    </dxf>
    <dxf>
      <numFmt numFmtId="164" formatCode="[$-409]d\-mmm\-yyyy;@"/>
    </dxf>
    <dxf>
      <numFmt numFmtId="164" formatCode="[$-409]d\-mmm\-yyyy;@"/>
    </dxf>
    <dxf>
      <numFmt numFmtId="164" formatCode="[$-409]d\-mmm\-yyyy;@"/>
    </dxf>
    <dxf>
      <numFmt numFmtId="1" formatCode="0"/>
    </dxf>
    <dxf>
      <numFmt numFmtId="0" formatCode="General"/>
    </dxf>
    <dxf>
      <numFmt numFmtId="0" formatCode="General"/>
    </dxf>
    <dxf>
      <numFmt numFmtId="0" formatCode="General"/>
    </dxf>
    <dxf>
      <numFmt numFmtId="0" formatCode="General"/>
    </dxf>
    <dxf>
      <numFmt numFmtId="0" formatCode="General"/>
    </dxf>
    <dxf>
      <numFmt numFmtId="0" formatCode="General"/>
    </dxf>
    <dxf>
      <font>
        <color rgb="FF006100"/>
      </font>
      <fill>
        <patternFill>
          <bgColor rgb="FFC6EFCE"/>
        </patternFill>
      </fill>
    </dxf>
    <dxf>
      <font>
        <color rgb="FF9C0006"/>
      </font>
      <fill>
        <patternFill>
          <bgColor rgb="FFFFC7CE"/>
        </patternFill>
      </fill>
    </dxf>
    <dxf>
      <font>
        <color rgb="FF9C5700"/>
      </font>
      <fill>
        <patternFill>
          <bgColor rgb="FFFFEB9C"/>
        </patternFill>
      </fill>
    </dxf>
    <dxf>
      <font>
        <color rgb="FF9C5700"/>
      </font>
      <fill>
        <patternFill>
          <bgColor rgb="FFFFEB9C"/>
        </patternFill>
      </fill>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 formatCode="0"/>
    </dxf>
    <dxf>
      <numFmt numFmtId="1" formatCode="0"/>
    </dxf>
    <dxf>
      <numFmt numFmtId="1" formatCode="0"/>
    </dxf>
    <dxf>
      <numFmt numFmtId="1" formatCode="0"/>
    </dxf>
    <dxf>
      <numFmt numFmtId="1" formatCode="0"/>
    </dxf>
    <dxf>
      <numFmt numFmtId="1" formatCode="0"/>
    </dxf>
    <dxf>
      <numFmt numFmtId="1" formatCode="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164" formatCode="[$-409]d\-mmm\-yyyy;@"/>
      <alignment horizontal="center" vertical="bottom" textRotation="0" wrapText="0" indent="0" justifyLastLine="0" shrinkToFit="0" readingOrder="0"/>
    </dxf>
    <dxf>
      <font>
        <b/>
        <i val="0"/>
        <strike val="0"/>
        <condense val="0"/>
        <extend val="0"/>
        <outline val="0"/>
        <shadow val="0"/>
        <u val="none"/>
        <vertAlign val="baseline"/>
        <sz val="11"/>
        <color theme="1"/>
        <name val="Aptos Narrow"/>
        <family val="2"/>
        <scheme val="minor"/>
      </font>
    </dxf>
    <dxf>
      <font>
        <color rgb="FF006100"/>
      </font>
      <fill>
        <patternFill>
          <bgColor rgb="FFC6EFCE"/>
        </patternFill>
      </fill>
    </dxf>
    <dxf>
      <font>
        <color rgb="FF9C5700"/>
      </font>
      <fill>
        <patternFill>
          <bgColor rgb="FFFFEB9C"/>
        </patternFill>
      </fill>
    </dxf>
    <dxf>
      <font>
        <color rgb="FF9C0006"/>
      </font>
      <fill>
        <patternFill>
          <bgColor rgb="FFFFC7CE"/>
        </patternFill>
      </fill>
    </dxf>
    <dxf>
      <font>
        <b/>
        <i val="0"/>
        <sz val="11"/>
        <color theme="0"/>
      </font>
    </dxf>
    <dxf>
      <fill>
        <patternFill>
          <bgColor theme="1"/>
        </patternFill>
      </fill>
    </dxf>
    <dxf>
      <font>
        <b/>
        <i val="0"/>
        <sz val="18"/>
        <color theme="1"/>
      </font>
    </dxf>
    <dxf>
      <font>
        <b/>
        <i val="0"/>
        <sz val="14"/>
        <color auto="1"/>
      </font>
      <fill>
        <patternFill>
          <bgColor theme="0"/>
        </patternFill>
      </fill>
    </dxf>
  </dxfs>
  <tableStyles count="2" defaultTableStyle="TableStyleMedium2" defaultPivotStyle="PivotStyleLight16">
    <tableStyle name="Family" pivot="0" table="0" count="5" xr9:uid="{6316F5C6-80ED-40A1-A282-1B3D173D321D}">
      <tableStyleElement type="wholeTable" dxfId="47"/>
      <tableStyleElement type="headerRow" dxfId="46"/>
    </tableStyle>
    <tableStyle name="Slicer Style 1" pivot="0" table="0" count="5" xr9:uid="{D32430A9-FC50-4158-B084-8049E1585974}">
      <tableStyleElement type="wholeTable" dxfId="45"/>
      <tableStyleElement type="headerRow" dxfId="44"/>
    </tableStyle>
  </tableStyles>
  <colors>
    <mruColors>
      <color rgb="FF20269C"/>
      <color rgb="FFFFFFFF"/>
      <color rgb="FF657966"/>
      <color rgb="FFC0C0C0"/>
      <color rgb="FF777777"/>
      <color rgb="FF808080"/>
      <color rgb="FF494949"/>
      <color rgb="FF303030"/>
    </mruColors>
  </colors>
  <extLst>
    <ext xmlns:x14="http://schemas.microsoft.com/office/spreadsheetml/2009/9/main" uri="{46F421CA-312F-682f-3DD2-61675219B42D}">
      <x14:dxfs count="6">
        <dxf>
          <font>
            <color theme="0"/>
          </font>
          <fill>
            <gradientFill>
              <stop position="0">
                <color theme="6" tint="0.80001220740379042"/>
              </stop>
              <stop position="1">
                <color theme="6" tint="0.80001220740379042"/>
              </stop>
            </gradientFill>
          </fill>
        </dxf>
        <dxf>
          <font>
            <color theme="0"/>
          </font>
          <fill>
            <gradientFill>
              <stop position="0">
                <color theme="6" tint="-0.25098422193060094"/>
              </stop>
              <stop position="1">
                <color theme="6" tint="0.40000610370189521"/>
              </stop>
            </gradientFill>
          </fill>
        </dxf>
        <dxf>
          <font>
            <color theme="0"/>
          </font>
          <fill>
            <gradientFill>
              <stop position="0">
                <color theme="6" tint="0.40000610370189521"/>
              </stop>
              <stop position="1">
                <color theme="6" tint="0.59999389629810485"/>
              </stop>
            </gradientFill>
          </fill>
        </dxf>
        <dxf>
          <font>
            <b/>
            <i val="0"/>
            <color theme="0"/>
          </font>
          <fill>
            <patternFill>
              <bgColor theme="1" tint="0.34998626667073579"/>
            </patternFill>
          </fill>
        </dxf>
        <dxf>
          <font>
            <color theme="0"/>
          </font>
          <fill>
            <patternFill>
              <bgColor theme="1" tint="0.14996795556505021"/>
            </patternFill>
          </fill>
        </dxf>
        <dxf>
          <font>
            <b/>
            <i val="0"/>
            <color theme="1" tint="0.34998626667073579"/>
          </font>
        </dxf>
      </x14:dxfs>
    </ext>
    <ext xmlns:x14="http://schemas.microsoft.com/office/spreadsheetml/2009/9/main" uri="{EB79DEF2-80B8-43e5-95BD-54CBDDF9020C}">
      <x14:slicerStyles defaultSlicerStyle="SlicerStyleLight1">
        <x14:slicerStyle name="Family">
          <x14:slicerStyleElements>
            <x14:slicerStyleElement type="unselectedItemWithData" dxfId="5"/>
            <x14:slicerStyleElement type="selectedItemWithData" dxfId="4"/>
            <x14:slicerStyleElement type="selectedItemWithNoData" dxfId="3"/>
          </x14:slicerStyleElements>
        </x14:slicerStyle>
        <x14:slicerStyle name="Slicer Style 1">
          <x14:slicerStyleElements>
            <x14:slicerStyleElement type="unselectedItemWithData" dxfId="2"/>
            <x14:slicerStyleElement type="selectedItemWithData" dxfId="1"/>
            <x14:slicerStyleElement type="selectedItemWithNo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pivotCacheDefinition" Target="pivotCache/pivotCacheDefinition1.xml"/><Relationship Id="rId26" Type="http://schemas.openxmlformats.org/officeDocument/2006/relationships/sharedStrings" Target="sharedStrings.xml"/><Relationship Id="rId3" Type="http://schemas.openxmlformats.org/officeDocument/2006/relationships/worksheet" Target="worksheets/sheet3.xml"/><Relationship Id="rId21" Type="http://schemas.microsoft.com/office/2007/relationships/slicerCache" Target="slicerCaches/slicerCache2.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microsoft.com/office/2007/relationships/slicerCache" Target="slicerCaches/slicerCache1.xml"/><Relationship Id="rId29"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4.xml"/><Relationship Id="rId28"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pivotCacheDefinition" Target="pivotCache/pivotCacheDefinition2.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7/relationships/slicerCache" Target="slicerCaches/slicerCache3.xml"/><Relationship Id="rId27" Type="http://schemas.openxmlformats.org/officeDocument/2006/relationships/sheetMetadata" Target="metadata.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3" Type="http://schemas.openxmlformats.org/officeDocument/2006/relationships/chartUserShapes" Target="../drawings/drawing2.xml"/><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SAVINGS.xlsm]PT_Cummulative_Savings!PivotTable1</c:name>
    <c:fmtId val="10"/>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ln w="44450" cap="rnd">
            <a:solidFill>
              <a:schemeClr val="tx1">
                <a:lumMod val="95000"/>
                <a:lumOff val="5000"/>
              </a:schemeClr>
            </a:solidFill>
            <a:round/>
          </a:ln>
          <a:effectLst/>
        </c:spPr>
        <c:marker>
          <c:symbol val="none"/>
        </c:marker>
        <c:dLbl>
          <c:idx val="0"/>
          <c:numFmt formatCode="#,##0,&quot;k&quot;"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PT_Cummulative_Savings!$B$3</c:f>
              <c:strCache>
                <c:ptCount val="1"/>
                <c:pt idx="0">
                  <c:v>Total</c:v>
                </c:pt>
              </c:strCache>
            </c:strRef>
          </c:tx>
          <c:spPr>
            <a:ln w="44450" cap="rnd">
              <a:solidFill>
                <a:schemeClr val="tx1">
                  <a:lumMod val="95000"/>
                  <a:lumOff val="5000"/>
                </a:schemeClr>
              </a:solidFill>
              <a:round/>
            </a:ln>
            <a:effectLst/>
          </c:spPr>
          <c:marker>
            <c:symbol val="none"/>
          </c:marker>
          <c:dLbls>
            <c:numFmt formatCode="#,##0,&quot;k&quot;" sourceLinked="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PT_Cummulative_Savings!$A$4:$A$9</c:f>
              <c:strCache>
                <c:ptCount val="5"/>
                <c:pt idx="0">
                  <c:v>2</c:v>
                </c:pt>
                <c:pt idx="1">
                  <c:v>3</c:v>
                </c:pt>
                <c:pt idx="2">
                  <c:v>4</c:v>
                </c:pt>
                <c:pt idx="3">
                  <c:v>5</c:v>
                </c:pt>
                <c:pt idx="4">
                  <c:v>14</c:v>
                </c:pt>
              </c:strCache>
            </c:strRef>
          </c:cat>
          <c:val>
            <c:numRef>
              <c:f>PT_Cummulative_Savings!$B$4:$B$9</c:f>
              <c:numCache>
                <c:formatCode>General</c:formatCode>
                <c:ptCount val="5"/>
                <c:pt idx="0">
                  <c:v>7000</c:v>
                </c:pt>
                <c:pt idx="1">
                  <c:v>2000</c:v>
                </c:pt>
                <c:pt idx="2">
                  <c:v>1000</c:v>
                </c:pt>
                <c:pt idx="3">
                  <c:v>12000</c:v>
                </c:pt>
                <c:pt idx="4">
                  <c:v>4000</c:v>
                </c:pt>
              </c:numCache>
            </c:numRef>
          </c:val>
          <c:smooth val="0"/>
          <c:extLst>
            <c:ext xmlns:c16="http://schemas.microsoft.com/office/drawing/2014/chart" uri="{C3380CC4-5D6E-409C-BE32-E72D297353CC}">
              <c16:uniqueId val="{00000000-5FD1-4C58-83FE-96D80D21315E}"/>
            </c:ext>
          </c:extLst>
        </c:ser>
        <c:dLbls>
          <c:dLblPos val="t"/>
          <c:showLegendKey val="0"/>
          <c:showVal val="1"/>
          <c:showCatName val="0"/>
          <c:showSerName val="0"/>
          <c:showPercent val="0"/>
          <c:showBubbleSize val="0"/>
        </c:dLbls>
        <c:smooth val="0"/>
        <c:axId val="504921615"/>
        <c:axId val="504920175"/>
      </c:lineChart>
      <c:catAx>
        <c:axId val="504921615"/>
        <c:scaling>
          <c:orientation val="minMax"/>
        </c:scaling>
        <c:delete val="0"/>
        <c:axPos val="b"/>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crossAx val="504920175"/>
        <c:crosses val="autoZero"/>
        <c:auto val="1"/>
        <c:lblAlgn val="ctr"/>
        <c:lblOffset val="100"/>
        <c:noMultiLvlLbl val="0"/>
      </c:catAx>
      <c:valAx>
        <c:axId val="504920175"/>
        <c:scaling>
          <c:orientation val="minMax"/>
        </c:scaling>
        <c:delete val="1"/>
        <c:axPos val="l"/>
        <c:numFmt formatCode="General" sourceLinked="1"/>
        <c:majorTickMark val="out"/>
        <c:minorTickMark val="none"/>
        <c:tickLblPos val="nextTo"/>
        <c:crossAx val="504921615"/>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SAVINGS.xlsm]PT_Actual_vs_Expected!PivotTable2</c:name>
    <c:fmtId val="17"/>
  </c:pivotSource>
  <c:chart>
    <c:autoTitleDeleted val="0"/>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6"/>
        <c:spPr>
          <a:ln w="44450" cap="rnd">
            <a:solidFill>
              <a:schemeClr val="tx1">
                <a:lumMod val="95000"/>
                <a:lumOff val="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7"/>
        <c:spPr>
          <a:ln w="44450"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18"/>
        <c:spPr>
          <a:ln w="44450" cap="rnd">
            <a:solidFill>
              <a:schemeClr val="accent2"/>
            </a:solidFill>
            <a:round/>
          </a:ln>
          <a:effectLst/>
        </c:spPr>
        <c:marker>
          <c:symbol val="none"/>
        </c:marker>
        <c:dLbl>
          <c:idx val="0"/>
          <c:layout>
            <c:manualLayout>
              <c:x val="-2.5950415325709488E-2"/>
              <c:y val="-0.11010969782623335"/>
            </c:manualLayout>
          </c:layout>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PT_Actual_vs_Expected!$B$3</c:f>
              <c:strCache>
                <c:ptCount val="1"/>
                <c:pt idx="0">
                  <c:v>Actual Equivalent Weeks</c:v>
                </c:pt>
              </c:strCache>
            </c:strRef>
          </c:tx>
          <c:spPr>
            <a:ln w="44450" cap="rnd">
              <a:solidFill>
                <a:schemeClr val="tx1">
                  <a:lumMod val="95000"/>
                  <a:lumOff val="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95000"/>
                        <a:lumOff val="5000"/>
                      </a:schemeClr>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PT_Actual_vs_Expected!$A$4:$A$9</c:f>
              <c:strCache>
                <c:ptCount val="5"/>
                <c:pt idx="0">
                  <c:v>2</c:v>
                </c:pt>
                <c:pt idx="1">
                  <c:v>3</c:v>
                </c:pt>
                <c:pt idx="2">
                  <c:v>4</c:v>
                </c:pt>
                <c:pt idx="3">
                  <c:v>5</c:v>
                </c:pt>
                <c:pt idx="4">
                  <c:v>14</c:v>
                </c:pt>
              </c:strCache>
            </c:strRef>
          </c:cat>
          <c:val>
            <c:numRef>
              <c:f>PT_Actual_vs_Expected!$B$4:$B$9</c:f>
              <c:numCache>
                <c:formatCode>General</c:formatCode>
                <c:ptCount val="5"/>
                <c:pt idx="0">
                  <c:v>7</c:v>
                </c:pt>
                <c:pt idx="1">
                  <c:v>2</c:v>
                </c:pt>
                <c:pt idx="2">
                  <c:v>1</c:v>
                </c:pt>
                <c:pt idx="3">
                  <c:v>12</c:v>
                </c:pt>
                <c:pt idx="4">
                  <c:v>4</c:v>
                </c:pt>
              </c:numCache>
            </c:numRef>
          </c:val>
          <c:smooth val="0"/>
          <c:extLst>
            <c:ext xmlns:c16="http://schemas.microsoft.com/office/drawing/2014/chart" uri="{C3380CC4-5D6E-409C-BE32-E72D297353CC}">
              <c16:uniqueId val="{00000000-E2C4-4F34-AD10-CB0AC1C08056}"/>
            </c:ext>
          </c:extLst>
        </c:ser>
        <c:ser>
          <c:idx val="1"/>
          <c:order val="1"/>
          <c:tx>
            <c:strRef>
              <c:f>PT_Actual_vs_Expected!$C$3</c:f>
              <c:strCache>
                <c:ptCount val="1"/>
                <c:pt idx="0">
                  <c:v>Equivalent Weeks To Date</c:v>
                </c:pt>
              </c:strCache>
            </c:strRef>
          </c:tx>
          <c:spPr>
            <a:ln w="44450" cap="rnd">
              <a:solidFill>
                <a:schemeClr val="accent2"/>
              </a:solidFill>
              <a:round/>
            </a:ln>
            <a:effectLst/>
          </c:spPr>
          <c:marker>
            <c:symbol val="none"/>
          </c:marker>
          <c:dPt>
            <c:idx val="1"/>
            <c:marker>
              <c:symbol val="none"/>
            </c:marker>
            <c:bubble3D val="0"/>
            <c:spPr>
              <a:ln w="44450" cap="rnd">
                <a:solidFill>
                  <a:schemeClr val="accent2"/>
                </a:solidFill>
                <a:round/>
              </a:ln>
              <a:effectLst/>
            </c:spPr>
            <c:extLst>
              <c:ext xmlns:c16="http://schemas.microsoft.com/office/drawing/2014/chart" uri="{C3380CC4-5D6E-409C-BE32-E72D297353CC}">
                <c16:uniqueId val="{00000000-FA0F-441A-98F9-7DE840D19AAB}"/>
              </c:ext>
            </c:extLst>
          </c:dPt>
          <c:dLbls>
            <c:dLbl>
              <c:idx val="1"/>
              <c:layout>
                <c:manualLayout>
                  <c:x val="-2.5950415325709488E-2"/>
                  <c:y val="-0.11010969782623335"/>
                </c:manualLayout>
              </c:layout>
              <c:dLblPos val="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FA0F-441A-98F9-7DE840D19AAB}"/>
                </c:ext>
              </c:extLst>
            </c:dLbl>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rgbClr val="FF0000"/>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PT_Actual_vs_Expected!$A$4:$A$9</c:f>
              <c:strCache>
                <c:ptCount val="5"/>
                <c:pt idx="0">
                  <c:v>2</c:v>
                </c:pt>
                <c:pt idx="1">
                  <c:v>3</c:v>
                </c:pt>
                <c:pt idx="2">
                  <c:v>4</c:v>
                </c:pt>
                <c:pt idx="3">
                  <c:v>5</c:v>
                </c:pt>
                <c:pt idx="4">
                  <c:v>14</c:v>
                </c:pt>
              </c:strCache>
            </c:strRef>
          </c:cat>
          <c:val>
            <c:numRef>
              <c:f>PT_Actual_vs_Expected!$C$4:$C$9</c:f>
              <c:numCache>
                <c:formatCode>General</c:formatCode>
                <c:ptCount val="5"/>
                <c:pt idx="0">
                  <c:v>2</c:v>
                </c:pt>
                <c:pt idx="1">
                  <c:v>3</c:v>
                </c:pt>
                <c:pt idx="2">
                  <c:v>4</c:v>
                </c:pt>
                <c:pt idx="3">
                  <c:v>5</c:v>
                </c:pt>
                <c:pt idx="4">
                  <c:v>14</c:v>
                </c:pt>
              </c:numCache>
            </c:numRef>
          </c:val>
          <c:smooth val="0"/>
          <c:extLst>
            <c:ext xmlns:c16="http://schemas.microsoft.com/office/drawing/2014/chart" uri="{C3380CC4-5D6E-409C-BE32-E72D297353CC}">
              <c16:uniqueId val="{00000001-E2C4-4F34-AD10-CB0AC1C08056}"/>
            </c:ext>
          </c:extLst>
        </c:ser>
        <c:dLbls>
          <c:dLblPos val="t"/>
          <c:showLegendKey val="0"/>
          <c:showVal val="1"/>
          <c:showCatName val="0"/>
          <c:showSerName val="0"/>
          <c:showPercent val="0"/>
          <c:showBubbleSize val="0"/>
        </c:dLbls>
        <c:smooth val="0"/>
        <c:axId val="561909375"/>
        <c:axId val="561919935"/>
      </c:lineChart>
      <c:catAx>
        <c:axId val="561909375"/>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crossAx val="561919935"/>
        <c:crosses val="autoZero"/>
        <c:auto val="1"/>
        <c:lblAlgn val="ctr"/>
        <c:lblOffset val="100"/>
        <c:noMultiLvlLbl val="0"/>
      </c:catAx>
      <c:valAx>
        <c:axId val="561919935"/>
        <c:scaling>
          <c:orientation val="minMax"/>
        </c:scaling>
        <c:delete val="1"/>
        <c:axPos val="l"/>
        <c:numFmt formatCode="General" sourceLinked="1"/>
        <c:majorTickMark val="none"/>
        <c:minorTickMark val="none"/>
        <c:tickLblPos val="nextTo"/>
        <c:crossAx val="561909375"/>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SAVINGS.xlsm]PT_Transactions!PivotTable1</c:name>
    <c:fmtId val="6"/>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8"/>
        <c:spPr>
          <a:gradFill flip="none" rotWithShape="1">
            <a:gsLst>
              <a:gs pos="0">
                <a:schemeClr val="tx2">
                  <a:lumMod val="50000"/>
                  <a:lumOff val="50000"/>
                </a:schemeClr>
              </a:gs>
              <a:gs pos="23000">
                <a:srgbClr val="20269C"/>
              </a:gs>
              <a:gs pos="100000">
                <a:srgbClr val="20269C"/>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5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0"/>
        <c:spPr>
          <a:gradFill flip="none" rotWithShape="1">
            <a:gsLst>
              <a:gs pos="6000">
                <a:schemeClr val="accent6">
                  <a:lumMod val="60000"/>
                  <a:lumOff val="40000"/>
                </a:schemeClr>
              </a:gs>
              <a:gs pos="28000">
                <a:schemeClr val="accent6">
                  <a:lumMod val="75000"/>
                </a:schemeClr>
              </a:gs>
              <a:gs pos="67000">
                <a:schemeClr val="accent6">
                  <a:lumMod val="50000"/>
                </a:schemeClr>
              </a:gs>
            </a:gsLst>
            <a:path path="circle">
              <a:fillToRect l="100000" t="100000"/>
            </a:path>
            <a:tileRect r="-100000" b="-100000"/>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6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925806345336539E-2"/>
          <c:y val="4.6989413404664129E-2"/>
          <c:w val="0.90078845583632583"/>
          <c:h val="0.79663590874616674"/>
        </c:manualLayout>
      </c:layout>
      <c:barChart>
        <c:barDir val="col"/>
        <c:grouping val="stacked"/>
        <c:varyColors val="0"/>
        <c:ser>
          <c:idx val="0"/>
          <c:order val="0"/>
          <c:tx>
            <c:strRef>
              <c:f>PT_Transactions!$B$3:$B$4</c:f>
              <c:strCache>
                <c:ptCount val="1"/>
                <c:pt idx="0">
                  <c:v>2</c:v>
                </c:pt>
              </c:strCache>
            </c:strRef>
          </c:tx>
          <c:spPr>
            <a:gradFill flip="none" rotWithShape="1">
              <a:gsLst>
                <a:gs pos="0">
                  <a:schemeClr val="tx2">
                    <a:lumMod val="50000"/>
                    <a:lumOff val="50000"/>
                  </a:schemeClr>
                </a:gs>
                <a:gs pos="23000">
                  <a:srgbClr val="20269C"/>
                </a:gs>
                <a:gs pos="100000">
                  <a:srgbClr val="20269C"/>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PT_Transactions!$A$5:$A$9</c:f>
              <c:strCache>
                <c:ptCount val="4"/>
                <c:pt idx="0">
                  <c:v>Bibiana</c:v>
                </c:pt>
                <c:pt idx="1">
                  <c:v>Cecilia</c:v>
                </c:pt>
                <c:pt idx="2">
                  <c:v>Cyril</c:v>
                </c:pt>
                <c:pt idx="3">
                  <c:v>Hilda</c:v>
                </c:pt>
              </c:strCache>
            </c:strRef>
          </c:cat>
          <c:val>
            <c:numRef>
              <c:f>PT_Transactions!$B$5:$B$9</c:f>
              <c:numCache>
                <c:formatCode>General</c:formatCode>
                <c:ptCount val="4"/>
                <c:pt idx="1">
                  <c:v>5</c:v>
                </c:pt>
                <c:pt idx="2">
                  <c:v>2</c:v>
                </c:pt>
              </c:numCache>
            </c:numRef>
          </c:val>
          <c:extLst>
            <c:ext xmlns:c16="http://schemas.microsoft.com/office/drawing/2014/chart" uri="{C3380CC4-5D6E-409C-BE32-E72D297353CC}">
              <c16:uniqueId val="{00000000-97F8-4D27-BA22-273923B4CB26}"/>
            </c:ext>
          </c:extLst>
        </c:ser>
        <c:ser>
          <c:idx val="1"/>
          <c:order val="1"/>
          <c:tx>
            <c:strRef>
              <c:f>PT_Transactions!$C$3:$C$4</c:f>
              <c:strCache>
                <c:ptCount val="1"/>
                <c:pt idx="0">
                  <c:v>3</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PT_Transactions!$A$5:$A$9</c:f>
              <c:strCache>
                <c:ptCount val="4"/>
                <c:pt idx="0">
                  <c:v>Bibiana</c:v>
                </c:pt>
                <c:pt idx="1">
                  <c:v>Cecilia</c:v>
                </c:pt>
                <c:pt idx="2">
                  <c:v>Cyril</c:v>
                </c:pt>
                <c:pt idx="3">
                  <c:v>Hilda</c:v>
                </c:pt>
              </c:strCache>
            </c:strRef>
          </c:cat>
          <c:val>
            <c:numRef>
              <c:f>PT_Transactions!$C$5:$C$9</c:f>
              <c:numCache>
                <c:formatCode>General</c:formatCode>
                <c:ptCount val="4"/>
                <c:pt idx="2">
                  <c:v>2</c:v>
                </c:pt>
              </c:numCache>
            </c:numRef>
          </c:val>
          <c:extLst>
            <c:ext xmlns:c16="http://schemas.microsoft.com/office/drawing/2014/chart" uri="{C3380CC4-5D6E-409C-BE32-E72D297353CC}">
              <c16:uniqueId val="{00000002-66A7-47B4-9C10-D159E74689F4}"/>
            </c:ext>
          </c:extLst>
        </c:ser>
        <c:ser>
          <c:idx val="2"/>
          <c:order val="2"/>
          <c:tx>
            <c:strRef>
              <c:f>PT_Transactions!$D$3:$D$4</c:f>
              <c:strCache>
                <c:ptCount val="1"/>
                <c:pt idx="0">
                  <c:v>5</c:v>
                </c:pt>
              </c:strCache>
            </c:strRef>
          </c:tx>
          <c:spPr>
            <a:gradFill flip="none" rotWithShape="1">
              <a:gsLst>
                <a:gs pos="6000">
                  <a:schemeClr val="accent6">
                    <a:lumMod val="60000"/>
                    <a:lumOff val="40000"/>
                  </a:schemeClr>
                </a:gs>
                <a:gs pos="28000">
                  <a:schemeClr val="accent6">
                    <a:lumMod val="75000"/>
                  </a:schemeClr>
                </a:gs>
                <a:gs pos="67000">
                  <a:schemeClr val="accent6">
                    <a:lumMod val="50000"/>
                  </a:schemeClr>
                </a:gs>
              </a:gsLst>
              <a:path path="circle">
                <a:fillToRect l="100000" t="100000"/>
              </a:path>
              <a:tileRect r="-100000" b="-100000"/>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PT_Transactions!$A$5:$A$9</c:f>
              <c:strCache>
                <c:ptCount val="4"/>
                <c:pt idx="0">
                  <c:v>Bibiana</c:v>
                </c:pt>
                <c:pt idx="1">
                  <c:v>Cecilia</c:v>
                </c:pt>
                <c:pt idx="2">
                  <c:v>Cyril</c:v>
                </c:pt>
                <c:pt idx="3">
                  <c:v>Hilda</c:v>
                </c:pt>
              </c:strCache>
            </c:strRef>
          </c:cat>
          <c:val>
            <c:numRef>
              <c:f>PT_Transactions!$D$5:$D$9</c:f>
              <c:numCache>
                <c:formatCode>General</c:formatCode>
                <c:ptCount val="4"/>
                <c:pt idx="0">
                  <c:v>5</c:v>
                </c:pt>
                <c:pt idx="2">
                  <c:v>2</c:v>
                </c:pt>
                <c:pt idx="3">
                  <c:v>5</c:v>
                </c:pt>
              </c:numCache>
            </c:numRef>
          </c:val>
          <c:extLst>
            <c:ext xmlns:c16="http://schemas.microsoft.com/office/drawing/2014/chart" uri="{C3380CC4-5D6E-409C-BE32-E72D297353CC}">
              <c16:uniqueId val="{00000003-66A7-47B4-9C10-D159E74689F4}"/>
            </c:ext>
          </c:extLst>
        </c:ser>
        <c:ser>
          <c:idx val="3"/>
          <c:order val="3"/>
          <c:tx>
            <c:strRef>
              <c:f>PT_Transactions!$E$3:$E$4</c:f>
              <c:strCache>
                <c:ptCount val="1"/>
                <c:pt idx="0">
                  <c:v>4</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PT_Transactions!$A$5:$A$9</c:f>
              <c:strCache>
                <c:ptCount val="4"/>
                <c:pt idx="0">
                  <c:v>Bibiana</c:v>
                </c:pt>
                <c:pt idx="1">
                  <c:v>Cecilia</c:v>
                </c:pt>
                <c:pt idx="2">
                  <c:v>Cyril</c:v>
                </c:pt>
                <c:pt idx="3">
                  <c:v>Hilda</c:v>
                </c:pt>
              </c:strCache>
            </c:strRef>
          </c:cat>
          <c:val>
            <c:numRef>
              <c:f>PT_Transactions!$E$5:$E$9</c:f>
              <c:numCache>
                <c:formatCode>General</c:formatCode>
                <c:ptCount val="4"/>
                <c:pt idx="2">
                  <c:v>1</c:v>
                </c:pt>
              </c:numCache>
            </c:numRef>
          </c:val>
          <c:extLst>
            <c:ext xmlns:c16="http://schemas.microsoft.com/office/drawing/2014/chart" uri="{C3380CC4-5D6E-409C-BE32-E72D297353CC}">
              <c16:uniqueId val="{00000004-66A7-47B4-9C10-D159E74689F4}"/>
            </c:ext>
          </c:extLst>
        </c:ser>
        <c:ser>
          <c:idx val="4"/>
          <c:order val="4"/>
          <c:tx>
            <c:strRef>
              <c:f>PT_Transactions!$F$3:$F$4</c:f>
              <c:strCache>
                <c:ptCount val="1"/>
                <c:pt idx="0">
                  <c:v>14</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8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PT_Transactions!$A$5:$A$9</c:f>
              <c:strCache>
                <c:ptCount val="4"/>
                <c:pt idx="0">
                  <c:v>Bibiana</c:v>
                </c:pt>
                <c:pt idx="1">
                  <c:v>Cecilia</c:v>
                </c:pt>
                <c:pt idx="2">
                  <c:v>Cyril</c:v>
                </c:pt>
                <c:pt idx="3">
                  <c:v>Hilda</c:v>
                </c:pt>
              </c:strCache>
            </c:strRef>
          </c:cat>
          <c:val>
            <c:numRef>
              <c:f>PT_Transactions!$F$5:$F$9</c:f>
              <c:numCache>
                <c:formatCode>General</c:formatCode>
                <c:ptCount val="4"/>
                <c:pt idx="3">
                  <c:v>4</c:v>
                </c:pt>
              </c:numCache>
            </c:numRef>
          </c:val>
          <c:extLst>
            <c:ext xmlns:c16="http://schemas.microsoft.com/office/drawing/2014/chart" uri="{C3380CC4-5D6E-409C-BE32-E72D297353CC}">
              <c16:uniqueId val="{00000005-66A7-47B4-9C10-D159E74689F4}"/>
            </c:ext>
          </c:extLst>
        </c:ser>
        <c:dLbls>
          <c:dLblPos val="ctr"/>
          <c:showLegendKey val="0"/>
          <c:showVal val="1"/>
          <c:showCatName val="0"/>
          <c:showSerName val="0"/>
          <c:showPercent val="0"/>
          <c:showBubbleSize val="0"/>
        </c:dLbls>
        <c:gapWidth val="150"/>
        <c:overlap val="100"/>
        <c:axId val="1629309632"/>
        <c:axId val="1629322112"/>
      </c:barChart>
      <c:catAx>
        <c:axId val="1629309632"/>
        <c:scaling>
          <c:orientation val="minMax"/>
        </c:scaling>
        <c:delete val="0"/>
        <c:axPos val="b"/>
        <c:numFmt formatCode="General" sourceLinked="1"/>
        <c:majorTickMark val="out"/>
        <c:minorTickMark val="none"/>
        <c:tickLblPos val="nextTo"/>
        <c:spPr>
          <a:solidFill>
            <a:schemeClr val="bg1"/>
          </a:solid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crossAx val="1629322112"/>
        <c:crosses val="autoZero"/>
        <c:auto val="1"/>
        <c:lblAlgn val="ctr"/>
        <c:lblOffset val="100"/>
        <c:noMultiLvlLbl val="0"/>
      </c:catAx>
      <c:valAx>
        <c:axId val="1629322112"/>
        <c:scaling>
          <c:orientation val="minMax"/>
        </c:scaling>
        <c:delete val="1"/>
        <c:axPos val="l"/>
        <c:numFmt formatCode="General" sourceLinked="1"/>
        <c:majorTickMark val="out"/>
        <c:minorTickMark val="none"/>
        <c:tickLblPos val="nextTo"/>
        <c:crossAx val="1629309632"/>
        <c:crosses val="autoZero"/>
        <c:crossBetween val="between"/>
      </c:valAx>
      <c:spPr>
        <a:noFill/>
        <a:ln>
          <a:noFill/>
        </a:ln>
        <a:effectLst/>
      </c:spPr>
    </c:plotArea>
    <c:legend>
      <c:legendPos val="b"/>
      <c:layout>
        <c:manualLayout>
          <c:xMode val="edge"/>
          <c:yMode val="edge"/>
          <c:x val="0.10450047164299901"/>
          <c:y val="0.94710454595584836"/>
          <c:w val="0.70976903464624674"/>
          <c:h val="5.2895509457666856E-2"/>
        </c:manualLayout>
      </c:layout>
      <c:overlay val="0"/>
      <c:spPr>
        <a:noFill/>
        <a:ln>
          <a:noFill/>
        </a:ln>
        <a:effectLst/>
      </c:spPr>
      <c:txPr>
        <a:bodyPr rot="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SAVINGS.xlsm]PT_Weekly_Compliance!PivotTable2</c:name>
    <c:fmtId val="12"/>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gradFill>
            <a:gsLst>
              <a:gs pos="4000">
                <a:schemeClr val="accent5">
                  <a:lumMod val="40000"/>
                  <a:lumOff val="60000"/>
                </a:schemeClr>
              </a:gs>
              <a:gs pos="29000">
                <a:schemeClr val="accent5">
                  <a:lumMod val="60000"/>
                  <a:lumOff val="40000"/>
                </a:schemeClr>
              </a:gs>
            </a:gsLst>
            <a:path path="circle">
              <a:fillToRect t="100000" r="100000"/>
            </a:path>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gradFill flip="none" rotWithShape="1">
            <a:gsLst>
              <a:gs pos="10000">
                <a:schemeClr val="accent5">
                  <a:lumMod val="60000"/>
                  <a:lumOff val="40000"/>
                </a:schemeClr>
              </a:gs>
              <a:gs pos="21000">
                <a:schemeClr val="accent5">
                  <a:lumMod val="75000"/>
                </a:schemeClr>
              </a:gs>
              <a:gs pos="85000">
                <a:schemeClr val="accent5">
                  <a:lumMod val="50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620432061376942"/>
          <c:y val="3.8867268899148627E-2"/>
          <c:w val="0.83763066946948372"/>
          <c:h val="0.80064627505734731"/>
        </c:manualLayout>
      </c:layout>
      <c:barChart>
        <c:barDir val="bar"/>
        <c:grouping val="clustered"/>
        <c:varyColors val="0"/>
        <c:ser>
          <c:idx val="0"/>
          <c:order val="0"/>
          <c:tx>
            <c:strRef>
              <c:f>PT_Weekly_Compliance!$B$3</c:f>
              <c:strCache>
                <c:ptCount val="1"/>
                <c:pt idx="0">
                  <c:v>Number of Savers Paid</c:v>
                </c:pt>
              </c:strCache>
            </c:strRef>
          </c:tx>
          <c:spPr>
            <a:gradFill>
              <a:gsLst>
                <a:gs pos="4000">
                  <a:schemeClr val="accent5">
                    <a:lumMod val="40000"/>
                    <a:lumOff val="60000"/>
                  </a:schemeClr>
                </a:gs>
                <a:gs pos="29000">
                  <a:schemeClr val="accent5">
                    <a:lumMod val="60000"/>
                    <a:lumOff val="40000"/>
                  </a:schemeClr>
                </a:gs>
              </a:gsLst>
              <a:path path="circle">
                <a:fillToRect t="100000" r="100000"/>
              </a:path>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PT_Weekly_Compliance!$A$4:$A$9</c:f>
              <c:strCache>
                <c:ptCount val="5"/>
                <c:pt idx="0">
                  <c:v>14</c:v>
                </c:pt>
                <c:pt idx="1">
                  <c:v>5</c:v>
                </c:pt>
                <c:pt idx="2">
                  <c:v>4</c:v>
                </c:pt>
                <c:pt idx="3">
                  <c:v>3</c:v>
                </c:pt>
                <c:pt idx="4">
                  <c:v>2</c:v>
                </c:pt>
              </c:strCache>
            </c:strRef>
          </c:cat>
          <c:val>
            <c:numRef>
              <c:f>PT_Weekly_Compliance!$B$4:$B$9</c:f>
              <c:numCache>
                <c:formatCode>General</c:formatCode>
                <c:ptCount val="5"/>
                <c:pt idx="0">
                  <c:v>1</c:v>
                </c:pt>
                <c:pt idx="1">
                  <c:v>3</c:v>
                </c:pt>
                <c:pt idx="2">
                  <c:v>1</c:v>
                </c:pt>
                <c:pt idx="3">
                  <c:v>1</c:v>
                </c:pt>
                <c:pt idx="4">
                  <c:v>2</c:v>
                </c:pt>
              </c:numCache>
            </c:numRef>
          </c:val>
          <c:extLst>
            <c:ext xmlns:c16="http://schemas.microsoft.com/office/drawing/2014/chart" uri="{C3380CC4-5D6E-409C-BE32-E72D297353CC}">
              <c16:uniqueId val="{00000000-5484-4C08-9AA3-3E8D4D424EE8}"/>
            </c:ext>
          </c:extLst>
        </c:ser>
        <c:ser>
          <c:idx val="1"/>
          <c:order val="1"/>
          <c:tx>
            <c:strRef>
              <c:f>PT_Weekly_Compliance!$C$3</c:f>
              <c:strCache>
                <c:ptCount val="1"/>
                <c:pt idx="0">
                  <c:v>Sum of Equivalent_Weeks_Paid</c:v>
                </c:pt>
              </c:strCache>
            </c:strRef>
          </c:tx>
          <c:spPr>
            <a:gradFill flip="none" rotWithShape="1">
              <a:gsLst>
                <a:gs pos="10000">
                  <a:schemeClr val="accent5">
                    <a:lumMod val="60000"/>
                    <a:lumOff val="40000"/>
                  </a:schemeClr>
                </a:gs>
                <a:gs pos="21000">
                  <a:schemeClr val="accent5">
                    <a:lumMod val="75000"/>
                  </a:schemeClr>
                </a:gs>
                <a:gs pos="85000">
                  <a:schemeClr val="accent5">
                    <a:lumMod val="50000"/>
                  </a:scheme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PT_Weekly_Compliance!$A$4:$A$9</c:f>
              <c:strCache>
                <c:ptCount val="5"/>
                <c:pt idx="0">
                  <c:v>14</c:v>
                </c:pt>
                <c:pt idx="1">
                  <c:v>5</c:v>
                </c:pt>
                <c:pt idx="2">
                  <c:v>4</c:v>
                </c:pt>
                <c:pt idx="3">
                  <c:v>3</c:v>
                </c:pt>
                <c:pt idx="4">
                  <c:v>2</c:v>
                </c:pt>
              </c:strCache>
            </c:strRef>
          </c:cat>
          <c:val>
            <c:numRef>
              <c:f>PT_Weekly_Compliance!$C$4:$C$9</c:f>
              <c:numCache>
                <c:formatCode>General</c:formatCode>
                <c:ptCount val="5"/>
                <c:pt idx="0">
                  <c:v>4</c:v>
                </c:pt>
                <c:pt idx="1">
                  <c:v>12</c:v>
                </c:pt>
                <c:pt idx="2">
                  <c:v>1</c:v>
                </c:pt>
                <c:pt idx="3">
                  <c:v>2</c:v>
                </c:pt>
                <c:pt idx="4">
                  <c:v>7</c:v>
                </c:pt>
              </c:numCache>
            </c:numRef>
          </c:val>
          <c:extLst>
            <c:ext xmlns:c16="http://schemas.microsoft.com/office/drawing/2014/chart" uri="{C3380CC4-5D6E-409C-BE32-E72D297353CC}">
              <c16:uniqueId val="{00000001-5484-4C08-9AA3-3E8D4D424EE8}"/>
            </c:ext>
          </c:extLst>
        </c:ser>
        <c:dLbls>
          <c:dLblPos val="outEnd"/>
          <c:showLegendKey val="0"/>
          <c:showVal val="1"/>
          <c:showCatName val="0"/>
          <c:showSerName val="0"/>
          <c:showPercent val="0"/>
          <c:showBubbleSize val="0"/>
        </c:dLbls>
        <c:gapWidth val="219"/>
        <c:axId val="1491856912"/>
        <c:axId val="1491860272"/>
      </c:barChart>
      <c:catAx>
        <c:axId val="1491856912"/>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400" b="1" i="0" u="none" strike="noStrike" kern="1200" baseline="0">
                <a:solidFill>
                  <a:schemeClr val="tx1">
                    <a:lumMod val="95000"/>
                    <a:lumOff val="5000"/>
                  </a:schemeClr>
                </a:solidFill>
                <a:latin typeface="+mn-lt"/>
                <a:ea typeface="+mn-ea"/>
                <a:cs typeface="+mn-cs"/>
              </a:defRPr>
            </a:pPr>
            <a:endParaRPr lang="en-US"/>
          </a:p>
        </c:txPr>
        <c:crossAx val="1491860272"/>
        <c:crosses val="autoZero"/>
        <c:auto val="1"/>
        <c:lblAlgn val="ctr"/>
        <c:lblOffset val="100"/>
        <c:noMultiLvlLbl val="0"/>
      </c:catAx>
      <c:valAx>
        <c:axId val="1491860272"/>
        <c:scaling>
          <c:orientation val="minMax"/>
        </c:scaling>
        <c:delete val="1"/>
        <c:axPos val="b"/>
        <c:numFmt formatCode="General" sourceLinked="1"/>
        <c:majorTickMark val="none"/>
        <c:minorTickMark val="none"/>
        <c:tickLblPos val="nextTo"/>
        <c:crossAx val="1491856912"/>
        <c:crosses val="autoZero"/>
        <c:crossBetween val="between"/>
      </c:valAx>
      <c:spPr>
        <a:noFill/>
        <a:ln>
          <a:noFill/>
        </a:ln>
        <a:effectLst/>
      </c:spPr>
    </c:plotArea>
    <c:legend>
      <c:legendPos val="b"/>
      <c:layout>
        <c:manualLayout>
          <c:xMode val="edge"/>
          <c:yMode val="edge"/>
          <c:x val="3.2794147337917599E-2"/>
          <c:y val="0.91439048325262828"/>
          <c:w val="0.91252336670585876"/>
          <c:h val="6.1735206691254089E-2"/>
        </c:manualLayout>
      </c:layout>
      <c:overlay val="0"/>
      <c:spPr>
        <a:noFill/>
        <a:ln>
          <a:noFill/>
        </a:ln>
        <a:effectLst/>
      </c:spPr>
      <c:txPr>
        <a:bodyPr rot="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SAVINGS.xlsm]PT_Payment_Behaviour!PivotTable4</c:name>
    <c:fmtId val="11"/>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2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39"/>
        <c:spPr>
          <a:gradFill flip="none" rotWithShape="1">
            <a:gsLst>
              <a:gs pos="54000">
                <a:schemeClr val="tx1">
                  <a:lumMod val="95000"/>
                  <a:lumOff val="5000"/>
                </a:schemeClr>
              </a:gs>
              <a:gs pos="83000">
                <a:schemeClr val="tx1">
                  <a:lumMod val="75000"/>
                  <a:lumOff val="25000"/>
                </a:schemeClr>
              </a:gs>
              <a:gs pos="100000">
                <a:schemeClr val="tx1">
                  <a:lumMod val="65000"/>
                  <a:lumOff val="35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1"/>
        <c:spPr>
          <a:gradFill flip="none" rotWithShape="1">
            <a:gsLst>
              <a:gs pos="59000">
                <a:schemeClr val="bg2">
                  <a:lumMod val="50000"/>
                </a:schemeClr>
              </a:gs>
              <a:gs pos="91000">
                <a:schemeClr val="bg2">
                  <a:lumMod val="90000"/>
                </a:schemeClr>
              </a:gs>
            </a:gsLst>
            <a:lin ang="27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
        <c:idx val="43"/>
        <c:spPr>
          <a:gradFill>
            <a:gsLst>
              <a:gs pos="59000">
                <a:schemeClr val="bg2"/>
              </a:gs>
              <a:gs pos="91000">
                <a:schemeClr val="bg2">
                  <a:lumMod val="90000"/>
                </a:schemeClr>
              </a:gs>
            </a:gsLst>
            <a:lin ang="2700000" scaled="1"/>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3.4949909430335289E-2"/>
          <c:y val="4.1926184308394669E-2"/>
          <c:w val="0.94415104802040606"/>
          <c:h val="0.8859977600519805"/>
        </c:manualLayout>
      </c:layout>
      <c:barChart>
        <c:barDir val="col"/>
        <c:grouping val="stacked"/>
        <c:varyColors val="0"/>
        <c:ser>
          <c:idx val="0"/>
          <c:order val="0"/>
          <c:tx>
            <c:strRef>
              <c:f>PT_Payment_Behaviour!$B$3:$B$5</c:f>
              <c:strCache>
                <c:ptCount val="1"/>
                <c:pt idx="0">
                  <c:v>Bulk - Number of Payments</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PT_Payment_Behaviour!$A$6:$A$10</c:f>
              <c:strCache>
                <c:ptCount val="4"/>
                <c:pt idx="0">
                  <c:v>Bibiana</c:v>
                </c:pt>
                <c:pt idx="1">
                  <c:v>Cecilia</c:v>
                </c:pt>
                <c:pt idx="2">
                  <c:v>Cyril</c:v>
                </c:pt>
                <c:pt idx="3">
                  <c:v>Hilda</c:v>
                </c:pt>
              </c:strCache>
            </c:strRef>
          </c:cat>
          <c:val>
            <c:numRef>
              <c:f>PT_Payment_Behaviour!$B$6:$B$10</c:f>
              <c:numCache>
                <c:formatCode>General</c:formatCode>
                <c:ptCount val="4"/>
                <c:pt idx="0">
                  <c:v>1</c:v>
                </c:pt>
                <c:pt idx="1">
                  <c:v>1</c:v>
                </c:pt>
                <c:pt idx="3">
                  <c:v>2</c:v>
                </c:pt>
              </c:numCache>
            </c:numRef>
          </c:val>
          <c:extLst>
            <c:ext xmlns:c16="http://schemas.microsoft.com/office/drawing/2014/chart" uri="{C3380CC4-5D6E-409C-BE32-E72D297353CC}">
              <c16:uniqueId val="{00000000-0E3F-444D-B60E-38FD81884900}"/>
            </c:ext>
          </c:extLst>
        </c:ser>
        <c:ser>
          <c:idx val="1"/>
          <c:order val="1"/>
          <c:tx>
            <c:strRef>
              <c:f>PT_Payment_Behaviour!$C$3:$C$5</c:f>
              <c:strCache>
                <c:ptCount val="1"/>
                <c:pt idx="0">
                  <c:v>Bulk - Sum of Amount_Paid_NGN</c:v>
                </c:pt>
              </c:strCache>
            </c:strRef>
          </c:tx>
          <c:spPr>
            <a:gradFill flip="none" rotWithShape="1">
              <a:gsLst>
                <a:gs pos="54000">
                  <a:schemeClr val="tx1">
                    <a:lumMod val="95000"/>
                    <a:lumOff val="5000"/>
                  </a:schemeClr>
                </a:gs>
                <a:gs pos="83000">
                  <a:schemeClr val="tx1">
                    <a:lumMod val="75000"/>
                    <a:lumOff val="25000"/>
                  </a:schemeClr>
                </a:gs>
                <a:gs pos="100000">
                  <a:schemeClr val="tx1">
                    <a:lumMod val="65000"/>
                    <a:lumOff val="35000"/>
                  </a:scheme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PT_Payment_Behaviour!$A$6:$A$10</c:f>
              <c:strCache>
                <c:ptCount val="4"/>
                <c:pt idx="0">
                  <c:v>Bibiana</c:v>
                </c:pt>
                <c:pt idx="1">
                  <c:v>Cecilia</c:v>
                </c:pt>
                <c:pt idx="2">
                  <c:v>Cyril</c:v>
                </c:pt>
                <c:pt idx="3">
                  <c:v>Hilda</c:v>
                </c:pt>
              </c:strCache>
            </c:strRef>
          </c:cat>
          <c:val>
            <c:numRef>
              <c:f>PT_Payment_Behaviour!$C$6:$C$10</c:f>
              <c:numCache>
                <c:formatCode>General</c:formatCode>
                <c:ptCount val="4"/>
                <c:pt idx="0">
                  <c:v>5000</c:v>
                </c:pt>
                <c:pt idx="1">
                  <c:v>5000</c:v>
                </c:pt>
                <c:pt idx="3">
                  <c:v>9000</c:v>
                </c:pt>
              </c:numCache>
            </c:numRef>
          </c:val>
          <c:extLst>
            <c:ext xmlns:c16="http://schemas.microsoft.com/office/drawing/2014/chart" uri="{C3380CC4-5D6E-409C-BE32-E72D297353CC}">
              <c16:uniqueId val="{00000001-0E3F-444D-B60E-38FD81884900}"/>
            </c:ext>
          </c:extLst>
        </c:ser>
        <c:ser>
          <c:idx val="2"/>
          <c:order val="2"/>
          <c:tx>
            <c:strRef>
              <c:f>PT_Payment_Behaviour!$D$3:$D$5</c:f>
              <c:strCache>
                <c:ptCount val="1"/>
                <c:pt idx="0">
                  <c:v>Catch-up - Number of Payments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PT_Payment_Behaviour!$A$6:$A$10</c:f>
              <c:strCache>
                <c:ptCount val="4"/>
                <c:pt idx="0">
                  <c:v>Bibiana</c:v>
                </c:pt>
                <c:pt idx="1">
                  <c:v>Cecilia</c:v>
                </c:pt>
                <c:pt idx="2">
                  <c:v>Cyril</c:v>
                </c:pt>
                <c:pt idx="3">
                  <c:v>Hilda</c:v>
                </c:pt>
              </c:strCache>
            </c:strRef>
          </c:cat>
          <c:val>
            <c:numRef>
              <c:f>PT_Payment_Behaviour!$D$6:$D$10</c:f>
              <c:numCache>
                <c:formatCode>General</c:formatCode>
                <c:ptCount val="4"/>
                <c:pt idx="2">
                  <c:v>3</c:v>
                </c:pt>
              </c:numCache>
            </c:numRef>
          </c:val>
          <c:extLst>
            <c:ext xmlns:c16="http://schemas.microsoft.com/office/drawing/2014/chart" uri="{C3380CC4-5D6E-409C-BE32-E72D297353CC}">
              <c16:uniqueId val="{00000001-C225-438E-83C8-6BA5507221B1}"/>
            </c:ext>
          </c:extLst>
        </c:ser>
        <c:ser>
          <c:idx val="3"/>
          <c:order val="3"/>
          <c:tx>
            <c:strRef>
              <c:f>PT_Payment_Behaviour!$E$3:$E$5</c:f>
              <c:strCache>
                <c:ptCount val="1"/>
                <c:pt idx="0">
                  <c:v>Catch-up - Sum of Amount_Paid_NGN</c:v>
                </c:pt>
              </c:strCache>
            </c:strRef>
          </c:tx>
          <c:spPr>
            <a:gradFill flip="none" rotWithShape="1">
              <a:gsLst>
                <a:gs pos="59000">
                  <a:schemeClr val="bg2">
                    <a:lumMod val="50000"/>
                  </a:schemeClr>
                </a:gs>
                <a:gs pos="91000">
                  <a:schemeClr val="bg2">
                    <a:lumMod val="90000"/>
                  </a:schemeClr>
                </a:gs>
              </a:gsLst>
              <a:lin ang="27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bg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PT_Payment_Behaviour!$A$6:$A$10</c:f>
              <c:strCache>
                <c:ptCount val="4"/>
                <c:pt idx="0">
                  <c:v>Bibiana</c:v>
                </c:pt>
                <c:pt idx="1">
                  <c:v>Cecilia</c:v>
                </c:pt>
                <c:pt idx="2">
                  <c:v>Cyril</c:v>
                </c:pt>
                <c:pt idx="3">
                  <c:v>Hilda</c:v>
                </c:pt>
              </c:strCache>
            </c:strRef>
          </c:cat>
          <c:val>
            <c:numRef>
              <c:f>PT_Payment_Behaviour!$E$6:$E$10</c:f>
              <c:numCache>
                <c:formatCode>General</c:formatCode>
                <c:ptCount val="4"/>
                <c:pt idx="2">
                  <c:v>6000</c:v>
                </c:pt>
              </c:numCache>
            </c:numRef>
          </c:val>
          <c:extLst>
            <c:ext xmlns:c16="http://schemas.microsoft.com/office/drawing/2014/chart" uri="{C3380CC4-5D6E-409C-BE32-E72D297353CC}">
              <c16:uniqueId val="{00000002-C225-438E-83C8-6BA5507221B1}"/>
            </c:ext>
          </c:extLst>
        </c:ser>
        <c:ser>
          <c:idx val="4"/>
          <c:order val="4"/>
          <c:tx>
            <c:strRef>
              <c:f>PT_Payment_Behaviour!$F$3:$F$5</c:f>
              <c:strCache>
                <c:ptCount val="1"/>
                <c:pt idx="0">
                  <c:v>Weekly - Number of Payments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PT_Payment_Behaviour!$A$6:$A$10</c:f>
              <c:strCache>
                <c:ptCount val="4"/>
                <c:pt idx="0">
                  <c:v>Bibiana</c:v>
                </c:pt>
                <c:pt idx="1">
                  <c:v>Cecilia</c:v>
                </c:pt>
                <c:pt idx="2">
                  <c:v>Cyril</c:v>
                </c:pt>
                <c:pt idx="3">
                  <c:v>Hilda</c:v>
                </c:pt>
              </c:strCache>
            </c:strRef>
          </c:cat>
          <c:val>
            <c:numRef>
              <c:f>PT_Payment_Behaviour!$F$6:$F$10</c:f>
              <c:numCache>
                <c:formatCode>General</c:formatCode>
                <c:ptCount val="4"/>
                <c:pt idx="2">
                  <c:v>1</c:v>
                </c:pt>
              </c:numCache>
            </c:numRef>
          </c:val>
          <c:extLst>
            <c:ext xmlns:c16="http://schemas.microsoft.com/office/drawing/2014/chart" uri="{C3380CC4-5D6E-409C-BE32-E72D297353CC}">
              <c16:uniqueId val="{00000003-C225-438E-83C8-6BA5507221B1}"/>
            </c:ext>
          </c:extLst>
        </c:ser>
        <c:ser>
          <c:idx val="5"/>
          <c:order val="5"/>
          <c:tx>
            <c:strRef>
              <c:f>PT_Payment_Behaviour!$G$3:$G$5</c:f>
              <c:strCache>
                <c:ptCount val="1"/>
                <c:pt idx="0">
                  <c:v>Weekly - Sum of Amount_Paid_NGN</c:v>
                </c:pt>
              </c:strCache>
            </c:strRef>
          </c:tx>
          <c:spPr>
            <a:gradFill>
              <a:gsLst>
                <a:gs pos="59000">
                  <a:schemeClr val="bg2"/>
                </a:gs>
                <a:gs pos="91000">
                  <a:schemeClr val="bg2">
                    <a:lumMod val="90000"/>
                  </a:schemeClr>
                </a:gs>
              </a:gsLst>
              <a:lin ang="2700000" scaled="1"/>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600" b="1" i="0" u="none" strike="noStrike" kern="1200" baseline="0">
                    <a:solidFill>
                      <a:schemeClr val="tx1"/>
                    </a:solidFill>
                    <a:latin typeface="+mn-lt"/>
                    <a:ea typeface="+mn-ea"/>
                    <a:cs typeface="+mn-cs"/>
                  </a:defRPr>
                </a:pPr>
                <a:endParaRPr lang="en-US"/>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PT_Payment_Behaviour!$A$6:$A$10</c:f>
              <c:strCache>
                <c:ptCount val="4"/>
                <c:pt idx="0">
                  <c:v>Bibiana</c:v>
                </c:pt>
                <c:pt idx="1">
                  <c:v>Cecilia</c:v>
                </c:pt>
                <c:pt idx="2">
                  <c:v>Cyril</c:v>
                </c:pt>
                <c:pt idx="3">
                  <c:v>Hilda</c:v>
                </c:pt>
              </c:strCache>
            </c:strRef>
          </c:cat>
          <c:val>
            <c:numRef>
              <c:f>PT_Payment_Behaviour!$G$6:$G$10</c:f>
              <c:numCache>
                <c:formatCode>General</c:formatCode>
                <c:ptCount val="4"/>
                <c:pt idx="2">
                  <c:v>1000</c:v>
                </c:pt>
              </c:numCache>
            </c:numRef>
          </c:val>
          <c:extLst>
            <c:ext xmlns:c16="http://schemas.microsoft.com/office/drawing/2014/chart" uri="{C3380CC4-5D6E-409C-BE32-E72D297353CC}">
              <c16:uniqueId val="{00000004-C225-438E-83C8-6BA5507221B1}"/>
            </c:ext>
          </c:extLst>
        </c:ser>
        <c:dLbls>
          <c:dLblPos val="ctr"/>
          <c:showLegendKey val="0"/>
          <c:showVal val="1"/>
          <c:showCatName val="0"/>
          <c:showSerName val="0"/>
          <c:showPercent val="0"/>
          <c:showBubbleSize val="0"/>
        </c:dLbls>
        <c:gapWidth val="150"/>
        <c:overlap val="100"/>
        <c:axId val="1639008080"/>
        <c:axId val="1639006160"/>
      </c:barChart>
      <c:catAx>
        <c:axId val="1639008080"/>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crossAx val="1639006160"/>
        <c:crosses val="autoZero"/>
        <c:auto val="1"/>
        <c:lblAlgn val="ctr"/>
        <c:lblOffset val="100"/>
        <c:noMultiLvlLbl val="0"/>
      </c:catAx>
      <c:valAx>
        <c:axId val="1639006160"/>
        <c:scaling>
          <c:orientation val="minMax"/>
        </c:scaling>
        <c:delete val="1"/>
        <c:axPos val="l"/>
        <c:numFmt formatCode="General" sourceLinked="1"/>
        <c:majorTickMark val="none"/>
        <c:minorTickMark val="none"/>
        <c:tickLblPos val="nextTo"/>
        <c:crossAx val="163900808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SAVINGS.xlsm]PT_Missed_Weeks!PivotTable3</c:name>
    <c:fmtId val="18"/>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2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rgbClr val="FF0000"/>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31248993297963629"/>
          <c:y val="5.2416052416052419E-2"/>
          <c:w val="0.56262097881697182"/>
          <c:h val="0.91154791154791159"/>
        </c:manualLayout>
      </c:layout>
      <c:barChart>
        <c:barDir val="bar"/>
        <c:grouping val="clustered"/>
        <c:varyColors val="0"/>
        <c:ser>
          <c:idx val="0"/>
          <c:order val="0"/>
          <c:tx>
            <c:strRef>
              <c:f>PT_Missed_Weeks!$B$3</c:f>
              <c:strCache>
                <c:ptCount val="1"/>
                <c:pt idx="0">
                  <c:v>Total</c:v>
                </c:pt>
              </c:strCache>
            </c:strRef>
          </c:tx>
          <c:spPr>
            <a:solidFill>
              <a:srgbClr val="FF0000"/>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1400" b="1" i="0" u="none" strike="noStrike" kern="1200" baseline="0">
                    <a:solidFill>
                      <a:schemeClr val="tx1">
                        <a:lumMod val="95000"/>
                        <a:lumOff val="5000"/>
                      </a:schemeClr>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PT_Missed_Weeks!$A$4:$A$8</c:f>
              <c:strCache>
                <c:ptCount val="4"/>
                <c:pt idx="0">
                  <c:v>Bibiana</c:v>
                </c:pt>
                <c:pt idx="1">
                  <c:v>Cecilia</c:v>
                </c:pt>
                <c:pt idx="2">
                  <c:v>Cyril</c:v>
                </c:pt>
                <c:pt idx="3">
                  <c:v>Hilda</c:v>
                </c:pt>
              </c:strCache>
            </c:strRef>
          </c:cat>
          <c:val>
            <c:numRef>
              <c:f>PT_Missed_Weeks!$B$4:$B$8</c:f>
              <c:numCache>
                <c:formatCode>General</c:formatCode>
                <c:ptCount val="4"/>
                <c:pt idx="0">
                  <c:v>0</c:v>
                </c:pt>
                <c:pt idx="1">
                  <c:v>0</c:v>
                </c:pt>
                <c:pt idx="2">
                  <c:v>0</c:v>
                </c:pt>
                <c:pt idx="3">
                  <c:v>5</c:v>
                </c:pt>
              </c:numCache>
            </c:numRef>
          </c:val>
          <c:extLst>
            <c:ext xmlns:c16="http://schemas.microsoft.com/office/drawing/2014/chart" uri="{C3380CC4-5D6E-409C-BE32-E72D297353CC}">
              <c16:uniqueId val="{00000000-064A-40BE-9C80-C82D50B539C3}"/>
            </c:ext>
          </c:extLst>
        </c:ser>
        <c:dLbls>
          <c:dLblPos val="outEnd"/>
          <c:showLegendKey val="0"/>
          <c:showVal val="1"/>
          <c:showCatName val="0"/>
          <c:showSerName val="0"/>
          <c:showPercent val="0"/>
          <c:showBubbleSize val="0"/>
        </c:dLbls>
        <c:gapWidth val="182"/>
        <c:axId val="1634257200"/>
        <c:axId val="1634260560"/>
      </c:barChart>
      <c:catAx>
        <c:axId val="1634257200"/>
        <c:scaling>
          <c:orientation val="minMax"/>
        </c:scaling>
        <c:delete val="0"/>
        <c:axPos val="l"/>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1600" b="1" i="0" u="none" strike="noStrike" kern="1200" baseline="0">
                <a:solidFill>
                  <a:schemeClr val="tx1">
                    <a:lumMod val="95000"/>
                    <a:lumOff val="5000"/>
                  </a:schemeClr>
                </a:solidFill>
                <a:latin typeface="+mn-lt"/>
                <a:ea typeface="+mn-ea"/>
                <a:cs typeface="+mn-cs"/>
              </a:defRPr>
            </a:pPr>
            <a:endParaRPr lang="en-US"/>
          </a:p>
        </c:txPr>
        <c:crossAx val="1634260560"/>
        <c:crosses val="autoZero"/>
        <c:auto val="1"/>
        <c:lblAlgn val="ctr"/>
        <c:lblOffset val="100"/>
        <c:noMultiLvlLbl val="0"/>
      </c:catAx>
      <c:valAx>
        <c:axId val="1634260560"/>
        <c:scaling>
          <c:orientation val="minMax"/>
        </c:scaling>
        <c:delete val="1"/>
        <c:axPos val="b"/>
        <c:numFmt formatCode="General" sourceLinked="1"/>
        <c:majorTickMark val="none"/>
        <c:minorTickMark val="none"/>
        <c:tickLblPos val="nextTo"/>
        <c:crossAx val="1634257200"/>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no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SAVINGS.xlsm]PT_Naira_Usage!PivotTable4</c:name>
    <c:fmtId val="9"/>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gradFill flip="none" rotWithShape="1">
            <a:gsLst>
              <a:gs pos="0">
                <a:schemeClr val="accent6">
                  <a:lumMod val="75000"/>
                  <a:shade val="30000"/>
                  <a:satMod val="115000"/>
                </a:schemeClr>
              </a:gs>
              <a:gs pos="50000">
                <a:schemeClr val="accent6">
                  <a:lumMod val="75000"/>
                  <a:shade val="67500"/>
                  <a:satMod val="115000"/>
                </a:schemeClr>
              </a:gs>
              <a:gs pos="100000">
                <a:schemeClr val="accent6">
                  <a:lumMod val="75000"/>
                  <a:shade val="100000"/>
                  <a:satMod val="115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1.010201554994305E-2"/>
          <c:y val="6.1474736906999269E-2"/>
          <c:w val="0.97714323445418394"/>
          <c:h val="0.70410834652282639"/>
        </c:manualLayout>
      </c:layout>
      <c:barChart>
        <c:barDir val="col"/>
        <c:grouping val="clustered"/>
        <c:varyColors val="0"/>
        <c:ser>
          <c:idx val="0"/>
          <c:order val="0"/>
          <c:tx>
            <c:strRef>
              <c:f>PT_Naira_Usage!$A$3</c:f>
              <c:strCache>
                <c:ptCount val="1"/>
                <c:pt idx="0">
                  <c:v>Total Naira Used</c:v>
                </c:pt>
              </c:strCache>
            </c:strRef>
          </c:tx>
          <c:spPr>
            <a:gradFill flip="none" rotWithShape="1">
              <a:gsLst>
                <a:gs pos="0">
                  <a:schemeClr val="accent6">
                    <a:lumMod val="75000"/>
                    <a:shade val="30000"/>
                    <a:satMod val="115000"/>
                  </a:schemeClr>
                </a:gs>
                <a:gs pos="50000">
                  <a:schemeClr val="accent6">
                    <a:lumMod val="75000"/>
                    <a:shade val="67500"/>
                    <a:satMod val="115000"/>
                  </a:schemeClr>
                </a:gs>
                <a:gs pos="100000">
                  <a:schemeClr val="accent6">
                    <a:lumMod val="75000"/>
                    <a:shade val="100000"/>
                    <a:satMod val="115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PT_Naira_Usage!$A$4</c:f>
              <c:strCache>
                <c:ptCount val="1"/>
                <c:pt idx="0">
                  <c:v>Total</c:v>
                </c:pt>
              </c:strCache>
            </c:strRef>
          </c:cat>
          <c:val>
            <c:numRef>
              <c:f>PT_Naira_Usage!$A$4</c:f>
              <c:numCache>
                <c:formatCode>General</c:formatCode>
                <c:ptCount val="1"/>
                <c:pt idx="0">
                  <c:v>21974.25</c:v>
                </c:pt>
              </c:numCache>
            </c:numRef>
          </c:val>
          <c:extLst>
            <c:ext xmlns:c16="http://schemas.microsoft.com/office/drawing/2014/chart" uri="{C3380CC4-5D6E-409C-BE32-E72D297353CC}">
              <c16:uniqueId val="{00000000-A4A1-4400-A765-0E5585EB8AF6}"/>
            </c:ext>
          </c:extLst>
        </c:ser>
        <c:ser>
          <c:idx val="1"/>
          <c:order val="1"/>
          <c:tx>
            <c:strRef>
              <c:f>PT_Naira_Usage!$B$3</c:f>
              <c:strCache>
                <c:ptCount val="1"/>
                <c:pt idx="0">
                  <c:v>Total Naira Rolled Over</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PT_Naira_Usage!$A$4</c:f>
              <c:strCache>
                <c:ptCount val="1"/>
                <c:pt idx="0">
                  <c:v>Total</c:v>
                </c:pt>
              </c:strCache>
            </c:strRef>
          </c:cat>
          <c:val>
            <c:numRef>
              <c:f>PT_Naira_Usage!$B$4</c:f>
              <c:numCache>
                <c:formatCode>General</c:formatCode>
                <c:ptCount val="1"/>
                <c:pt idx="0">
                  <c:v>25.75</c:v>
                </c:pt>
              </c:numCache>
            </c:numRef>
          </c:val>
          <c:extLst>
            <c:ext xmlns:c16="http://schemas.microsoft.com/office/drawing/2014/chart" uri="{C3380CC4-5D6E-409C-BE32-E72D297353CC}">
              <c16:uniqueId val="{00000001-A4A1-4400-A765-0E5585EB8AF6}"/>
            </c:ext>
          </c:extLst>
        </c:ser>
        <c:dLbls>
          <c:dLblPos val="outEnd"/>
          <c:showLegendKey val="0"/>
          <c:showVal val="1"/>
          <c:showCatName val="0"/>
          <c:showSerName val="0"/>
          <c:showPercent val="0"/>
          <c:showBubbleSize val="0"/>
        </c:dLbls>
        <c:gapWidth val="219"/>
        <c:overlap val="-27"/>
        <c:axId val="574881567"/>
        <c:axId val="574904607"/>
      </c:barChart>
      <c:catAx>
        <c:axId val="57488156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74904607"/>
        <c:crosses val="autoZero"/>
        <c:auto val="1"/>
        <c:lblAlgn val="ctr"/>
        <c:lblOffset val="100"/>
        <c:noMultiLvlLbl val="0"/>
      </c:catAx>
      <c:valAx>
        <c:axId val="574904607"/>
        <c:scaling>
          <c:orientation val="minMax"/>
        </c:scaling>
        <c:delete val="1"/>
        <c:axPos val="l"/>
        <c:numFmt formatCode="General" sourceLinked="1"/>
        <c:majorTickMark val="none"/>
        <c:minorTickMark val="none"/>
        <c:tickLblPos val="nextTo"/>
        <c:crossAx val="574881567"/>
        <c:crosses val="autoZero"/>
        <c:crossBetween val="between"/>
      </c:valAx>
      <c:spPr>
        <a:solidFill>
          <a:schemeClr val="tx1"/>
        </a:solidFill>
        <a:ln>
          <a:noFill/>
        </a:ln>
        <a:effectLst/>
      </c:spPr>
    </c:plotArea>
    <c:legend>
      <c:legendPos val="b"/>
      <c:layout>
        <c:manualLayout>
          <c:xMode val="edge"/>
          <c:yMode val="edge"/>
          <c:x val="2.3242047574241871E-2"/>
          <c:y val="0.88586814376948564"/>
          <c:w val="0.96190164908631715"/>
          <c:h val="7.0416153499503323E-2"/>
        </c:manualLayout>
      </c:layout>
      <c:overlay val="0"/>
      <c:spPr>
        <a:solidFill>
          <a:schemeClr val="tx1"/>
        </a:solid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SAVINGS.xlsm]PT_Exchange_Rate!PivotTable5</c:name>
    <c:fmtId val="11"/>
  </c:pivotSource>
  <c:chart>
    <c:autoTitleDeleted val="1"/>
    <c:pivotFmts>
      <c:pivotFmt>
        <c:idx val="0"/>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
        <c:idx val="6"/>
        <c:spPr>
          <a:ln w="28575" cap="rnd">
            <a:solidFill>
              <a:schemeClr val="accent6">
                <a:lumMod val="75000"/>
              </a:schemeClr>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4828725482797083E-2"/>
          <c:y val="7.6885708701664876E-2"/>
          <c:w val="0.92615615540070273"/>
          <c:h val="0.76920615365634704"/>
        </c:manualLayout>
      </c:layout>
      <c:lineChart>
        <c:grouping val="standard"/>
        <c:varyColors val="0"/>
        <c:ser>
          <c:idx val="0"/>
          <c:order val="0"/>
          <c:tx>
            <c:strRef>
              <c:f>PT_Exchange_Rate!$B$3</c:f>
              <c:strCache>
                <c:ptCount val="1"/>
                <c:pt idx="0">
                  <c:v>Total</c:v>
                </c:pt>
              </c:strCache>
            </c:strRef>
          </c:tx>
          <c:spPr>
            <a:ln w="28575" cap="rnd">
              <a:solidFill>
                <a:schemeClr val="accent6">
                  <a:lumMod val="75000"/>
                </a:schemeClr>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t"/>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multiLvlStrRef>
              <c:f>PT_Exchange_Rate!$A$4:$A$9</c:f>
              <c:multiLvlStrCache>
                <c:ptCount val="4"/>
                <c:lvl>
                  <c:pt idx="0">
                    <c:v>11-Jan-2026</c:v>
                  </c:pt>
                  <c:pt idx="1">
                    <c:v>24-Jan-2026</c:v>
                  </c:pt>
                  <c:pt idx="2">
                    <c:v>28-Jan-2026</c:v>
                  </c:pt>
                  <c:pt idx="3">
                    <c:v>30-Jan-2026</c:v>
                  </c:pt>
                </c:lvl>
                <c:lvl>
                  <c:pt idx="0">
                    <c:v>Jan</c:v>
                  </c:pt>
                </c:lvl>
              </c:multiLvlStrCache>
            </c:multiLvlStrRef>
          </c:cat>
          <c:val>
            <c:numRef>
              <c:f>PT_Exchange_Rate!$B$4:$B$9</c:f>
              <c:numCache>
                <c:formatCode>General</c:formatCode>
                <c:ptCount val="4"/>
                <c:pt idx="0">
                  <c:v>1485</c:v>
                </c:pt>
                <c:pt idx="1">
                  <c:v>1495</c:v>
                </c:pt>
                <c:pt idx="2">
                  <c:v>1495</c:v>
                </c:pt>
                <c:pt idx="3">
                  <c:v>1495</c:v>
                </c:pt>
              </c:numCache>
            </c:numRef>
          </c:val>
          <c:smooth val="0"/>
          <c:extLst>
            <c:ext xmlns:c16="http://schemas.microsoft.com/office/drawing/2014/chart" uri="{C3380CC4-5D6E-409C-BE32-E72D297353CC}">
              <c16:uniqueId val="{00000000-C398-42FB-9E9A-5E57816FB643}"/>
            </c:ext>
          </c:extLst>
        </c:ser>
        <c:dLbls>
          <c:dLblPos val="t"/>
          <c:showLegendKey val="0"/>
          <c:showVal val="1"/>
          <c:showCatName val="0"/>
          <c:showSerName val="0"/>
          <c:showPercent val="0"/>
          <c:showBubbleSize val="0"/>
        </c:dLbls>
        <c:smooth val="0"/>
        <c:axId val="574890687"/>
        <c:axId val="574902207"/>
      </c:lineChart>
      <c:catAx>
        <c:axId val="574890687"/>
        <c:scaling>
          <c:orientation val="minMax"/>
        </c:scaling>
        <c:delete val="0"/>
        <c:axPos val="b"/>
        <c:numFmt formatCode="General" sourceLinked="1"/>
        <c:majorTickMark val="out"/>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74902207"/>
        <c:crosses val="autoZero"/>
        <c:auto val="1"/>
        <c:lblAlgn val="ctr"/>
        <c:lblOffset val="100"/>
        <c:noMultiLvlLbl val="0"/>
      </c:catAx>
      <c:valAx>
        <c:axId val="574902207"/>
        <c:scaling>
          <c:orientation val="minMax"/>
        </c:scaling>
        <c:delete val="1"/>
        <c:axPos val="l"/>
        <c:numFmt formatCode="General" sourceLinked="1"/>
        <c:majorTickMark val="out"/>
        <c:minorTickMark val="none"/>
        <c:tickLblPos val="nextTo"/>
        <c:crossAx val="574890687"/>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userShapes r:id="rId3"/>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[FAMILY SAVINGS.xlsm]PT_Purchase_Frequency!PivotTable6</c:name>
    <c:fmtId val="9"/>
  </c:pivotSource>
  <c:chart>
    <c:autoTitleDeleted val="1"/>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6"/>
        <c:spPr>
          <a:gradFill flip="none" rotWithShape="1">
            <a:gsLst>
              <a:gs pos="0">
                <a:schemeClr val="accent6">
                  <a:lumMod val="75000"/>
                  <a:shade val="30000"/>
                  <a:satMod val="115000"/>
                </a:schemeClr>
              </a:gs>
              <a:gs pos="50000">
                <a:schemeClr val="accent6">
                  <a:lumMod val="75000"/>
                  <a:shade val="67500"/>
                  <a:satMod val="115000"/>
                </a:schemeClr>
              </a:gs>
              <a:gs pos="100000">
                <a:schemeClr val="accent6">
                  <a:lumMod val="75000"/>
                  <a:shade val="100000"/>
                  <a:satMod val="115000"/>
                </a:schemeClr>
              </a:gs>
            </a:gsLst>
            <a:lin ang="16200000" scaled="1"/>
            <a:tileRect/>
          </a:gra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2.927478376580173E-2"/>
          <c:y val="9.5238030311190436E-2"/>
          <c:w val="0.95741849634065201"/>
          <c:h val="0.74789395787302182"/>
        </c:manualLayout>
      </c:layout>
      <c:barChart>
        <c:barDir val="col"/>
        <c:grouping val="clustered"/>
        <c:varyColors val="0"/>
        <c:ser>
          <c:idx val="0"/>
          <c:order val="0"/>
          <c:tx>
            <c:strRef>
              <c:f>PT_Purchase_Frequency!$B$3</c:f>
              <c:strCache>
                <c:ptCount val="1"/>
                <c:pt idx="0">
                  <c:v>Total</c:v>
                </c:pt>
              </c:strCache>
            </c:strRef>
          </c:tx>
          <c:spPr>
            <a:gradFill flip="none" rotWithShape="1">
              <a:gsLst>
                <a:gs pos="0">
                  <a:schemeClr val="accent6">
                    <a:lumMod val="75000"/>
                    <a:shade val="30000"/>
                    <a:satMod val="115000"/>
                  </a:schemeClr>
                </a:gs>
                <a:gs pos="50000">
                  <a:schemeClr val="accent6">
                    <a:lumMod val="75000"/>
                    <a:shade val="67500"/>
                    <a:satMod val="115000"/>
                  </a:schemeClr>
                </a:gs>
                <a:gs pos="100000">
                  <a:schemeClr val="accent6">
                    <a:lumMod val="75000"/>
                    <a:shade val="100000"/>
                    <a:satMod val="115000"/>
                  </a:schemeClr>
                </a:gs>
              </a:gsLst>
              <a:lin ang="16200000" scaled="1"/>
              <a:tileRect/>
            </a:gra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bg1"/>
                    </a:solidFill>
                    <a:latin typeface="+mn-lt"/>
                    <a:ea typeface="+mn-ea"/>
                    <a:cs typeface="+mn-cs"/>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PT_Purchase_Frequency!$A$4:$A$5</c:f>
              <c:strCache>
                <c:ptCount val="1"/>
                <c:pt idx="0">
                  <c:v>Jan</c:v>
                </c:pt>
              </c:strCache>
            </c:strRef>
          </c:cat>
          <c:val>
            <c:numRef>
              <c:f>PT_Purchase_Frequency!$B$4:$B$5</c:f>
              <c:numCache>
                <c:formatCode>General</c:formatCode>
                <c:ptCount val="1"/>
                <c:pt idx="0">
                  <c:v>4</c:v>
                </c:pt>
              </c:numCache>
            </c:numRef>
          </c:val>
          <c:extLst>
            <c:ext xmlns:c16="http://schemas.microsoft.com/office/drawing/2014/chart" uri="{C3380CC4-5D6E-409C-BE32-E72D297353CC}">
              <c16:uniqueId val="{00000000-3E45-4503-9F4B-959295420D9D}"/>
            </c:ext>
          </c:extLst>
        </c:ser>
        <c:dLbls>
          <c:dLblPos val="outEnd"/>
          <c:showLegendKey val="0"/>
          <c:showVal val="1"/>
          <c:showCatName val="0"/>
          <c:showSerName val="0"/>
          <c:showPercent val="0"/>
          <c:showBubbleSize val="0"/>
        </c:dLbls>
        <c:gapWidth val="219"/>
        <c:overlap val="-27"/>
        <c:axId val="574859487"/>
        <c:axId val="574855647"/>
      </c:barChart>
      <c:catAx>
        <c:axId val="574859487"/>
        <c:scaling>
          <c:orientation val="minMax"/>
        </c:scaling>
        <c:delete val="0"/>
        <c:axPos val="b"/>
        <c:numFmt formatCode="General" sourceLinked="1"/>
        <c:majorTickMark val="none"/>
        <c:minorTickMark val="none"/>
        <c:tickLblPos val="nextTo"/>
        <c:spPr>
          <a:noFill/>
          <a:ln w="9525" cap="flat" cmpd="sng" algn="ctr">
            <a:noFill/>
            <a:round/>
          </a:ln>
          <a:effectLst/>
        </c:spPr>
        <c:txPr>
          <a:bodyPr rot="-60000000" spcFirstLastPara="1" vertOverflow="ellipsis" vert="horz" wrap="square" anchor="ctr" anchorCtr="1"/>
          <a:lstStyle/>
          <a:p>
            <a:pPr>
              <a:defRPr sz="900" b="1" i="0" u="none" strike="noStrike" kern="1200" baseline="0">
                <a:solidFill>
                  <a:schemeClr val="bg1"/>
                </a:solidFill>
                <a:latin typeface="+mn-lt"/>
                <a:ea typeface="+mn-ea"/>
                <a:cs typeface="+mn-cs"/>
              </a:defRPr>
            </a:pPr>
            <a:endParaRPr lang="en-US"/>
          </a:p>
        </c:txPr>
        <c:crossAx val="574855647"/>
        <c:crosses val="autoZero"/>
        <c:auto val="1"/>
        <c:lblAlgn val="ctr"/>
        <c:lblOffset val="100"/>
        <c:noMultiLvlLbl val="0"/>
      </c:catAx>
      <c:valAx>
        <c:axId val="574855647"/>
        <c:scaling>
          <c:orientation val="minMax"/>
        </c:scaling>
        <c:delete val="1"/>
        <c:axPos val="l"/>
        <c:numFmt formatCode="General" sourceLinked="1"/>
        <c:majorTickMark val="none"/>
        <c:minorTickMark val="none"/>
        <c:tickLblPos val="nextTo"/>
        <c:crossAx val="574859487"/>
        <c:crosses val="autoZero"/>
        <c:crossBetween val="between"/>
      </c:valAx>
      <c:spPr>
        <a:solidFill>
          <a:schemeClr val="tx1"/>
        </a:solid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tx1"/>
    </a:solidFill>
    <a:ln w="9525" cap="flat" cmpd="sng" algn="ctr">
      <a:no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9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image" Target="../media/image3.png"/><Relationship Id="rId3" Type="http://schemas.openxmlformats.org/officeDocument/2006/relationships/chart" Target="../charts/chart3.xml"/><Relationship Id="rId7" Type="http://schemas.openxmlformats.org/officeDocument/2006/relationships/image" Target="../media/image2.svg"/><Relationship Id="rId12" Type="http://schemas.openxmlformats.org/officeDocument/2006/relationships/image" Target="../media/image6.sv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image" Target="../media/image1.png"/><Relationship Id="rId11" Type="http://schemas.openxmlformats.org/officeDocument/2006/relationships/image" Target="../media/image5.png"/><Relationship Id="rId5" Type="http://schemas.openxmlformats.org/officeDocument/2006/relationships/chart" Target="../charts/chart5.xml"/><Relationship Id="rId10" Type="http://schemas.openxmlformats.org/officeDocument/2006/relationships/chart" Target="../charts/chart6.xml"/><Relationship Id="rId4" Type="http://schemas.openxmlformats.org/officeDocument/2006/relationships/chart" Target="../charts/chart4.xml"/><Relationship Id="rId9" Type="http://schemas.openxmlformats.org/officeDocument/2006/relationships/image" Target="../media/image4.svg"/></Relationships>
</file>

<file path=xl/drawings/_rels/drawing4.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xdr:from>
      <xdr:col>26</xdr:col>
      <xdr:colOff>252411</xdr:colOff>
      <xdr:row>2</xdr:row>
      <xdr:rowOff>0</xdr:rowOff>
    </xdr:from>
    <xdr:to>
      <xdr:col>64</xdr:col>
      <xdr:colOff>228600</xdr:colOff>
      <xdr:row>69</xdr:row>
      <xdr:rowOff>38100</xdr:rowOff>
    </xdr:to>
    <xdr:sp macro="" textlink="">
      <xdr:nvSpPr>
        <xdr:cNvPr id="10" name="Rectangle: Rounded Corners 9">
          <a:extLst>
            <a:ext uri="{FF2B5EF4-FFF2-40B4-BE49-F238E27FC236}">
              <a16:creationId xmlns:a16="http://schemas.microsoft.com/office/drawing/2014/main" id="{D9011181-B5C4-2F45-4D96-5ACDE6087FD5}"/>
            </a:ext>
          </a:extLst>
        </xdr:cNvPr>
        <xdr:cNvSpPr/>
      </xdr:nvSpPr>
      <xdr:spPr>
        <a:xfrm>
          <a:off x="16102011" y="381000"/>
          <a:ext cx="23140989" cy="12801600"/>
        </a:xfrm>
        <a:prstGeom prst="roundRect">
          <a:avLst>
            <a:gd name="adj" fmla="val 2238"/>
          </a:avLst>
        </a:prstGeom>
        <a:solidFill>
          <a:schemeClr val="bg1"/>
        </a:solidFill>
        <a:ln>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390522</xdr:colOff>
      <xdr:row>2</xdr:row>
      <xdr:rowOff>133351</xdr:rowOff>
    </xdr:from>
    <xdr:to>
      <xdr:col>64</xdr:col>
      <xdr:colOff>95250</xdr:colOff>
      <xdr:row>8</xdr:row>
      <xdr:rowOff>171451</xdr:rowOff>
    </xdr:to>
    <xdr:sp macro="" textlink="">
      <xdr:nvSpPr>
        <xdr:cNvPr id="11" name="Rectangle: Rounded Corners 10">
          <a:extLst>
            <a:ext uri="{FF2B5EF4-FFF2-40B4-BE49-F238E27FC236}">
              <a16:creationId xmlns:a16="http://schemas.microsoft.com/office/drawing/2014/main" id="{9C32CE91-18E3-C2F3-085E-0E19928BCAAC}"/>
            </a:ext>
          </a:extLst>
        </xdr:cNvPr>
        <xdr:cNvSpPr/>
      </xdr:nvSpPr>
      <xdr:spPr>
        <a:xfrm>
          <a:off x="16240122" y="514351"/>
          <a:ext cx="22869528" cy="1181100"/>
        </a:xfrm>
        <a:prstGeom prst="roundRect">
          <a:avLst>
            <a:gd name="adj" fmla="val 5277"/>
          </a:avLst>
        </a:prstGeom>
        <a:solidFill>
          <a:schemeClr val="bg1"/>
        </a:solidFill>
        <a:ln>
          <a:solidFill>
            <a:schemeClr val="tx1"/>
          </a:solid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361950</xdr:colOff>
      <xdr:row>16</xdr:row>
      <xdr:rowOff>114300</xdr:rowOff>
    </xdr:from>
    <xdr:to>
      <xdr:col>42</xdr:col>
      <xdr:colOff>381000</xdr:colOff>
      <xdr:row>36</xdr:row>
      <xdr:rowOff>171450</xdr:rowOff>
    </xdr:to>
    <xdr:sp macro="" textlink="">
      <xdr:nvSpPr>
        <xdr:cNvPr id="12" name="Rectangle: Rounded Corners 11">
          <a:extLst>
            <a:ext uri="{FF2B5EF4-FFF2-40B4-BE49-F238E27FC236}">
              <a16:creationId xmlns:a16="http://schemas.microsoft.com/office/drawing/2014/main" id="{A1E0A432-8042-49BA-B00D-8D5E15B65BC3}"/>
            </a:ext>
          </a:extLst>
        </xdr:cNvPr>
        <xdr:cNvSpPr/>
      </xdr:nvSpPr>
      <xdr:spPr>
        <a:xfrm>
          <a:off x="16211550" y="3162300"/>
          <a:ext cx="9772650" cy="3867150"/>
        </a:xfrm>
        <a:prstGeom prst="roundRect">
          <a:avLst>
            <a:gd name="adj" fmla="val 5277"/>
          </a:avLst>
        </a:prstGeom>
        <a:solidFill>
          <a:schemeClr val="bg1"/>
        </a:solidFill>
        <a:ln>
          <a:solidFill>
            <a:schemeClr val="tx1"/>
          </a:solid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390523</xdr:colOff>
      <xdr:row>38</xdr:row>
      <xdr:rowOff>0</xdr:rowOff>
    </xdr:from>
    <xdr:to>
      <xdr:col>41</xdr:col>
      <xdr:colOff>209550</xdr:colOff>
      <xdr:row>68</xdr:row>
      <xdr:rowOff>114300</xdr:rowOff>
    </xdr:to>
    <xdr:sp macro="" textlink="">
      <xdr:nvSpPr>
        <xdr:cNvPr id="13" name="Rectangle: Rounded Corners 12">
          <a:extLst>
            <a:ext uri="{FF2B5EF4-FFF2-40B4-BE49-F238E27FC236}">
              <a16:creationId xmlns:a16="http://schemas.microsoft.com/office/drawing/2014/main" id="{F79C7D3D-5CEB-4611-AF60-4C436B69A049}"/>
            </a:ext>
          </a:extLst>
        </xdr:cNvPr>
        <xdr:cNvSpPr/>
      </xdr:nvSpPr>
      <xdr:spPr>
        <a:xfrm>
          <a:off x="16240123" y="7239000"/>
          <a:ext cx="8963027" cy="5829300"/>
        </a:xfrm>
        <a:prstGeom prst="roundRect">
          <a:avLst>
            <a:gd name="adj" fmla="val 2683"/>
          </a:avLst>
        </a:prstGeom>
        <a:solidFill>
          <a:schemeClr val="bg1"/>
        </a:solidFill>
        <a:ln>
          <a:solidFill>
            <a:schemeClr val="tx1"/>
          </a:solid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56</xdr:col>
      <xdr:colOff>552450</xdr:colOff>
      <xdr:row>16</xdr:row>
      <xdr:rowOff>57150</xdr:rowOff>
    </xdr:from>
    <xdr:to>
      <xdr:col>64</xdr:col>
      <xdr:colOff>114300</xdr:colOff>
      <xdr:row>68</xdr:row>
      <xdr:rowOff>76200</xdr:rowOff>
    </xdr:to>
    <xdr:sp macro="" textlink="">
      <xdr:nvSpPr>
        <xdr:cNvPr id="14" name="Rectangle: Rounded Corners 13">
          <a:extLst>
            <a:ext uri="{FF2B5EF4-FFF2-40B4-BE49-F238E27FC236}">
              <a16:creationId xmlns:a16="http://schemas.microsoft.com/office/drawing/2014/main" id="{1FBA02F3-8391-4C84-8983-59CDA08F3D07}"/>
            </a:ext>
          </a:extLst>
        </xdr:cNvPr>
        <xdr:cNvSpPr/>
      </xdr:nvSpPr>
      <xdr:spPr>
        <a:xfrm>
          <a:off x="34690050" y="3105150"/>
          <a:ext cx="4438650" cy="9925050"/>
        </a:xfrm>
        <a:prstGeom prst="roundRect">
          <a:avLst>
            <a:gd name="adj" fmla="val 5277"/>
          </a:avLst>
        </a:prstGeom>
        <a:solidFill>
          <a:schemeClr val="bg1"/>
        </a:solidFill>
        <a:ln>
          <a:solidFill>
            <a:schemeClr val="tx1"/>
          </a:solid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42</xdr:col>
      <xdr:colOff>476250</xdr:colOff>
      <xdr:row>16</xdr:row>
      <xdr:rowOff>95250</xdr:rowOff>
    </xdr:from>
    <xdr:to>
      <xdr:col>56</xdr:col>
      <xdr:colOff>438150</xdr:colOff>
      <xdr:row>36</xdr:row>
      <xdr:rowOff>152400</xdr:rowOff>
    </xdr:to>
    <xdr:sp macro="" textlink="">
      <xdr:nvSpPr>
        <xdr:cNvPr id="18" name="Rectangle: Rounded Corners 17">
          <a:extLst>
            <a:ext uri="{FF2B5EF4-FFF2-40B4-BE49-F238E27FC236}">
              <a16:creationId xmlns:a16="http://schemas.microsoft.com/office/drawing/2014/main" id="{BC751E66-A0EF-4578-9B57-25BAC9344494}"/>
            </a:ext>
          </a:extLst>
        </xdr:cNvPr>
        <xdr:cNvSpPr/>
      </xdr:nvSpPr>
      <xdr:spPr>
        <a:xfrm>
          <a:off x="26079450" y="3143250"/>
          <a:ext cx="8496300" cy="3867150"/>
        </a:xfrm>
        <a:prstGeom prst="roundRect">
          <a:avLst>
            <a:gd name="adj" fmla="val 5277"/>
          </a:avLst>
        </a:prstGeom>
        <a:solidFill>
          <a:schemeClr val="bg1"/>
        </a:solidFill>
        <a:ln>
          <a:solidFill>
            <a:schemeClr val="tx1"/>
          </a:solid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26</xdr:col>
      <xdr:colOff>429496</xdr:colOff>
      <xdr:row>19</xdr:row>
      <xdr:rowOff>38100</xdr:rowOff>
    </xdr:from>
    <xdr:to>
      <xdr:col>42</xdr:col>
      <xdr:colOff>266699</xdr:colOff>
      <xdr:row>36</xdr:row>
      <xdr:rowOff>38100</xdr:rowOff>
    </xdr:to>
    <xdr:graphicFrame macro="">
      <xdr:nvGraphicFramePr>
        <xdr:cNvPr id="19" name="Chart 18">
          <a:extLst>
            <a:ext uri="{FF2B5EF4-FFF2-40B4-BE49-F238E27FC236}">
              <a16:creationId xmlns:a16="http://schemas.microsoft.com/office/drawing/2014/main" id="{8425C0B0-9BC3-4BFE-B542-5D33E101CC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30</xdr:col>
      <xdr:colOff>368072</xdr:colOff>
      <xdr:row>16</xdr:row>
      <xdr:rowOff>186118</xdr:rowOff>
    </xdr:from>
    <xdr:to>
      <xdr:col>38</xdr:col>
      <xdr:colOff>438150</xdr:colOff>
      <xdr:row>18</xdr:row>
      <xdr:rowOff>171450</xdr:rowOff>
    </xdr:to>
    <xdr:sp macro="" textlink="">
      <xdr:nvSpPr>
        <xdr:cNvPr id="20" name="TextBox 2">
          <a:extLst>
            <a:ext uri="{FF2B5EF4-FFF2-40B4-BE49-F238E27FC236}">
              <a16:creationId xmlns:a16="http://schemas.microsoft.com/office/drawing/2014/main" id="{8ED2F733-5AB1-F8DD-2BFE-5C398D60D25F}"/>
            </a:ext>
          </a:extLst>
        </xdr:cNvPr>
        <xdr:cNvSpPr txBox="1"/>
      </xdr:nvSpPr>
      <xdr:spPr>
        <a:xfrm>
          <a:off x="18656072" y="3234118"/>
          <a:ext cx="4946878" cy="366332"/>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ctr"/>
          <a:r>
            <a:rPr lang="en-US" sz="1800" b="1"/>
            <a:t>Cummulative</a:t>
          </a:r>
          <a:r>
            <a:rPr lang="en-US" sz="1800" b="1" baseline="0"/>
            <a:t> Savings Over Time</a:t>
          </a:r>
          <a:endParaRPr lang="en-US" sz="1800" b="1"/>
        </a:p>
      </xdr:txBody>
    </xdr:sp>
    <xdr:clientData/>
  </xdr:twoCellAnchor>
  <xdr:twoCellAnchor>
    <xdr:from>
      <xdr:col>43</xdr:col>
      <xdr:colOff>19050</xdr:colOff>
      <xdr:row>19</xdr:row>
      <xdr:rowOff>0</xdr:rowOff>
    </xdr:from>
    <xdr:to>
      <xdr:col>56</xdr:col>
      <xdr:colOff>304800</xdr:colOff>
      <xdr:row>36</xdr:row>
      <xdr:rowOff>0</xdr:rowOff>
    </xdr:to>
    <xdr:graphicFrame macro="">
      <xdr:nvGraphicFramePr>
        <xdr:cNvPr id="23" name="Chart 22">
          <a:extLst>
            <a:ext uri="{FF2B5EF4-FFF2-40B4-BE49-F238E27FC236}">
              <a16:creationId xmlns:a16="http://schemas.microsoft.com/office/drawing/2014/main" id="{C05CC4B9-6560-491B-850C-1E39808BB8E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45</xdr:col>
      <xdr:colOff>455147</xdr:colOff>
      <xdr:row>16</xdr:row>
      <xdr:rowOff>132090</xdr:rowOff>
    </xdr:from>
    <xdr:to>
      <xdr:col>53</xdr:col>
      <xdr:colOff>228600</xdr:colOff>
      <xdr:row>18</xdr:row>
      <xdr:rowOff>133350</xdr:rowOff>
    </xdr:to>
    <xdr:sp macro="" textlink="">
      <xdr:nvSpPr>
        <xdr:cNvPr id="24" name="TextBox 2">
          <a:extLst>
            <a:ext uri="{FF2B5EF4-FFF2-40B4-BE49-F238E27FC236}">
              <a16:creationId xmlns:a16="http://schemas.microsoft.com/office/drawing/2014/main" id="{1A545E86-F211-E491-6EC0-6DCEA574CE49}"/>
            </a:ext>
          </a:extLst>
        </xdr:cNvPr>
        <xdr:cNvSpPr txBox="1"/>
      </xdr:nvSpPr>
      <xdr:spPr>
        <a:xfrm>
          <a:off x="27887147" y="3180090"/>
          <a:ext cx="4650253" cy="38226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wrap="square" rtlCol="0" anchor="ctr"/>
        <a:lstStyle>
          <a:lvl1pPr marL="0" indent="0">
            <a:defRPr sz="1100">
              <a:solidFill>
                <a:schemeClr val="dk1"/>
              </a:solidFill>
              <a:latin typeface="+mn-lt"/>
              <a:ea typeface="+mn-ea"/>
              <a:cs typeface="+mn-cs"/>
            </a:defRPr>
          </a:lvl1pPr>
          <a:lvl2pPr marL="457200" indent="0">
            <a:defRPr sz="1100">
              <a:solidFill>
                <a:schemeClr val="dk1"/>
              </a:solidFill>
              <a:latin typeface="+mn-lt"/>
              <a:ea typeface="+mn-ea"/>
              <a:cs typeface="+mn-cs"/>
            </a:defRPr>
          </a:lvl2pPr>
          <a:lvl3pPr marL="914400" indent="0">
            <a:defRPr sz="1100">
              <a:solidFill>
                <a:schemeClr val="dk1"/>
              </a:solidFill>
              <a:latin typeface="+mn-lt"/>
              <a:ea typeface="+mn-ea"/>
              <a:cs typeface="+mn-cs"/>
            </a:defRPr>
          </a:lvl3pPr>
          <a:lvl4pPr marL="1371600" indent="0">
            <a:defRPr sz="1100">
              <a:solidFill>
                <a:schemeClr val="dk1"/>
              </a:solidFill>
              <a:latin typeface="+mn-lt"/>
              <a:ea typeface="+mn-ea"/>
              <a:cs typeface="+mn-cs"/>
            </a:defRPr>
          </a:lvl4pPr>
          <a:lvl5pPr marL="1828800" indent="0">
            <a:defRPr sz="1100">
              <a:solidFill>
                <a:schemeClr val="dk1"/>
              </a:solidFill>
              <a:latin typeface="+mn-lt"/>
              <a:ea typeface="+mn-ea"/>
              <a:cs typeface="+mn-cs"/>
            </a:defRPr>
          </a:lvl5pPr>
          <a:lvl6pPr marL="2286000" indent="0">
            <a:defRPr sz="1100">
              <a:solidFill>
                <a:schemeClr val="dk1"/>
              </a:solidFill>
              <a:latin typeface="+mn-lt"/>
              <a:ea typeface="+mn-ea"/>
              <a:cs typeface="+mn-cs"/>
            </a:defRPr>
          </a:lvl6pPr>
          <a:lvl7pPr marL="2743200" indent="0">
            <a:defRPr sz="1100">
              <a:solidFill>
                <a:schemeClr val="dk1"/>
              </a:solidFill>
              <a:latin typeface="+mn-lt"/>
              <a:ea typeface="+mn-ea"/>
              <a:cs typeface="+mn-cs"/>
            </a:defRPr>
          </a:lvl7pPr>
          <a:lvl8pPr marL="3200400" indent="0">
            <a:defRPr sz="1100">
              <a:solidFill>
                <a:schemeClr val="dk1"/>
              </a:solidFill>
              <a:latin typeface="+mn-lt"/>
              <a:ea typeface="+mn-ea"/>
              <a:cs typeface="+mn-cs"/>
            </a:defRPr>
          </a:lvl8pPr>
          <a:lvl9pPr marL="3657600" indent="0">
            <a:defRPr sz="1100">
              <a:solidFill>
                <a:schemeClr val="dk1"/>
              </a:solidFill>
              <a:latin typeface="+mn-lt"/>
              <a:ea typeface="+mn-ea"/>
              <a:cs typeface="+mn-cs"/>
            </a:defRPr>
          </a:lvl9pPr>
        </a:lstStyle>
        <a:p>
          <a:pPr algn="l"/>
          <a:r>
            <a:rPr lang="en-US" sz="1800" b="1"/>
            <a:t>Actual vs Expected Savings effort Over Time</a:t>
          </a:r>
        </a:p>
      </xdr:txBody>
    </xdr:sp>
    <xdr:clientData/>
  </xdr:twoCellAnchor>
  <xdr:twoCellAnchor>
    <xdr:from>
      <xdr:col>26</xdr:col>
      <xdr:colOff>542925</xdr:colOff>
      <xdr:row>40</xdr:row>
      <xdr:rowOff>152400</xdr:rowOff>
    </xdr:from>
    <xdr:to>
      <xdr:col>41</xdr:col>
      <xdr:colOff>57150</xdr:colOff>
      <xdr:row>68</xdr:row>
      <xdr:rowOff>19050</xdr:rowOff>
    </xdr:to>
    <xdr:graphicFrame macro="">
      <xdr:nvGraphicFramePr>
        <xdr:cNvPr id="25" name="Chart 24">
          <a:extLst>
            <a:ext uri="{FF2B5EF4-FFF2-40B4-BE49-F238E27FC236}">
              <a16:creationId xmlns:a16="http://schemas.microsoft.com/office/drawing/2014/main" id="{5C8D2C46-E8FD-4CB5-B62A-C6694A02D81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57</xdr:col>
      <xdr:colOff>95250</xdr:colOff>
      <xdr:row>18</xdr:row>
      <xdr:rowOff>152400</xdr:rowOff>
    </xdr:from>
    <xdr:to>
      <xdr:col>63</xdr:col>
      <xdr:colOff>514350</xdr:colOff>
      <xdr:row>67</xdr:row>
      <xdr:rowOff>-1</xdr:rowOff>
    </xdr:to>
    <xdr:graphicFrame macro="">
      <xdr:nvGraphicFramePr>
        <xdr:cNvPr id="29" name="Chart 28">
          <a:extLst>
            <a:ext uri="{FF2B5EF4-FFF2-40B4-BE49-F238E27FC236}">
              <a16:creationId xmlns:a16="http://schemas.microsoft.com/office/drawing/2014/main" id="{651A87EE-4BAC-4616-8990-B4DE68EB0D6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47</xdr:col>
      <xdr:colOff>266700</xdr:colOff>
      <xdr:row>37</xdr:row>
      <xdr:rowOff>114300</xdr:rowOff>
    </xdr:from>
    <xdr:to>
      <xdr:col>56</xdr:col>
      <xdr:colOff>462986</xdr:colOff>
      <xdr:row>68</xdr:row>
      <xdr:rowOff>95250</xdr:rowOff>
    </xdr:to>
    <xdr:sp macro="" textlink="">
      <xdr:nvSpPr>
        <xdr:cNvPr id="31" name="Rectangle: Rounded Corners 30">
          <a:extLst>
            <a:ext uri="{FF2B5EF4-FFF2-40B4-BE49-F238E27FC236}">
              <a16:creationId xmlns:a16="http://schemas.microsoft.com/office/drawing/2014/main" id="{762DE3BC-A585-44A0-BCAA-B42C131C58AF}"/>
            </a:ext>
          </a:extLst>
        </xdr:cNvPr>
        <xdr:cNvSpPr/>
      </xdr:nvSpPr>
      <xdr:spPr>
        <a:xfrm>
          <a:off x="28917900" y="7162800"/>
          <a:ext cx="5682686" cy="5886450"/>
        </a:xfrm>
        <a:prstGeom prst="roundRect">
          <a:avLst>
            <a:gd name="adj" fmla="val 3590"/>
          </a:avLst>
        </a:prstGeom>
        <a:solidFill>
          <a:schemeClr val="bg1"/>
        </a:solidFill>
        <a:ln>
          <a:solidFill>
            <a:schemeClr val="tx1"/>
          </a:solid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47</xdr:col>
      <xdr:colOff>438150</xdr:colOff>
      <xdr:row>39</xdr:row>
      <xdr:rowOff>76200</xdr:rowOff>
    </xdr:from>
    <xdr:to>
      <xdr:col>56</xdr:col>
      <xdr:colOff>342900</xdr:colOff>
      <xdr:row>67</xdr:row>
      <xdr:rowOff>114300</xdr:rowOff>
    </xdr:to>
    <xdr:graphicFrame macro="">
      <xdr:nvGraphicFramePr>
        <xdr:cNvPr id="34" name="Chart 33">
          <a:extLst>
            <a:ext uri="{FF2B5EF4-FFF2-40B4-BE49-F238E27FC236}">
              <a16:creationId xmlns:a16="http://schemas.microsoft.com/office/drawing/2014/main" id="{3A5A0E3E-0738-48AD-8D19-76851016C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26</xdr:col>
      <xdr:colOff>381000</xdr:colOff>
      <xdr:row>9</xdr:row>
      <xdr:rowOff>57150</xdr:rowOff>
    </xdr:from>
    <xdr:to>
      <xdr:col>64</xdr:col>
      <xdr:colOff>95250</xdr:colOff>
      <xdr:row>15</xdr:row>
      <xdr:rowOff>133350</xdr:rowOff>
    </xdr:to>
    <xdr:sp macro="" textlink="">
      <xdr:nvSpPr>
        <xdr:cNvPr id="35" name="Rectangle: Rounded Corners 34">
          <a:extLst>
            <a:ext uri="{FF2B5EF4-FFF2-40B4-BE49-F238E27FC236}">
              <a16:creationId xmlns:a16="http://schemas.microsoft.com/office/drawing/2014/main" id="{E66CBD33-640B-4476-83D1-3AB664ADA86A}"/>
            </a:ext>
          </a:extLst>
        </xdr:cNvPr>
        <xdr:cNvSpPr/>
      </xdr:nvSpPr>
      <xdr:spPr>
        <a:xfrm>
          <a:off x="16230600" y="1771650"/>
          <a:ext cx="22879050" cy="1219200"/>
        </a:xfrm>
        <a:prstGeom prst="roundRect">
          <a:avLst>
            <a:gd name="adj" fmla="val 3590"/>
          </a:avLst>
        </a:prstGeom>
        <a:solidFill>
          <a:schemeClr val="bg1"/>
        </a:solidFill>
        <a:ln>
          <a:solidFill>
            <a:schemeClr val="tx1"/>
          </a:solid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26</xdr:col>
      <xdr:colOff>590550</xdr:colOff>
      <xdr:row>9</xdr:row>
      <xdr:rowOff>152400</xdr:rowOff>
    </xdr:from>
    <xdr:to>
      <xdr:col>39</xdr:col>
      <xdr:colOff>419100</xdr:colOff>
      <xdr:row>14</xdr:row>
      <xdr:rowOff>114300</xdr:rowOff>
    </xdr:to>
    <mc:AlternateContent xmlns:mc="http://schemas.openxmlformats.org/markup-compatibility/2006" xmlns:a14="http://schemas.microsoft.com/office/drawing/2010/main">
      <mc:Choice Requires="a14">
        <xdr:graphicFrame macro="">
          <xdr:nvGraphicFramePr>
            <xdr:cNvPr id="36" name="Payment_Type">
              <a:extLst>
                <a:ext uri="{FF2B5EF4-FFF2-40B4-BE49-F238E27FC236}">
                  <a16:creationId xmlns:a16="http://schemas.microsoft.com/office/drawing/2014/main" id="{1E9480E3-9E88-4E61-9503-8F0618424793}"/>
                </a:ext>
              </a:extLst>
            </xdr:cNvPr>
            <xdr:cNvGraphicFramePr/>
          </xdr:nvGraphicFramePr>
          <xdr:xfrm>
            <a:off x="0" y="0"/>
            <a:ext cx="0" cy="0"/>
          </xdr:xfrm>
          <a:graphic>
            <a:graphicData uri="http://schemas.microsoft.com/office/drawing/2010/slicer">
              <sle:slicer xmlns:sle="http://schemas.microsoft.com/office/drawing/2010/slicer" name="Payment_Type"/>
            </a:graphicData>
          </a:graphic>
        </xdr:graphicFrame>
      </mc:Choice>
      <mc:Fallback xmlns="">
        <xdr:sp macro="" textlink="">
          <xdr:nvSpPr>
            <xdr:cNvPr id="0" name=""/>
            <xdr:cNvSpPr>
              <a:spLocks noTextEdit="1"/>
            </xdr:cNvSpPr>
          </xdr:nvSpPr>
          <xdr:spPr>
            <a:xfrm>
              <a:off x="16440150" y="1866900"/>
              <a:ext cx="7753350" cy="9144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40</xdr:col>
      <xdr:colOff>323850</xdr:colOff>
      <xdr:row>10</xdr:row>
      <xdr:rowOff>38100</xdr:rowOff>
    </xdr:from>
    <xdr:to>
      <xdr:col>56</xdr:col>
      <xdr:colOff>228600</xdr:colOff>
      <xdr:row>14</xdr:row>
      <xdr:rowOff>152400</xdr:rowOff>
    </xdr:to>
    <mc:AlternateContent xmlns:mc="http://schemas.openxmlformats.org/markup-compatibility/2006" xmlns:a14="http://schemas.microsoft.com/office/drawing/2010/main">
      <mc:Choice Requires="a14">
        <xdr:graphicFrame macro="">
          <xdr:nvGraphicFramePr>
            <xdr:cNvPr id="37" name="Saver_Name">
              <a:extLst>
                <a:ext uri="{FF2B5EF4-FFF2-40B4-BE49-F238E27FC236}">
                  <a16:creationId xmlns:a16="http://schemas.microsoft.com/office/drawing/2014/main" id="{2F0B3DCD-5042-449B-8300-DB9481B24A02}"/>
                </a:ext>
              </a:extLst>
            </xdr:cNvPr>
            <xdr:cNvGraphicFramePr/>
          </xdr:nvGraphicFramePr>
          <xdr:xfrm>
            <a:off x="0" y="0"/>
            <a:ext cx="0" cy="0"/>
          </xdr:xfrm>
          <a:graphic>
            <a:graphicData uri="http://schemas.microsoft.com/office/drawing/2010/slicer">
              <sle:slicer xmlns:sle="http://schemas.microsoft.com/office/drawing/2010/slicer" name="Saver_Name"/>
            </a:graphicData>
          </a:graphic>
        </xdr:graphicFrame>
      </mc:Choice>
      <mc:Fallback xmlns="">
        <xdr:sp macro="" textlink="">
          <xdr:nvSpPr>
            <xdr:cNvPr id="0" name=""/>
            <xdr:cNvSpPr>
              <a:spLocks noTextEdit="1"/>
            </xdr:cNvSpPr>
          </xdr:nvSpPr>
          <xdr:spPr>
            <a:xfrm>
              <a:off x="34861500" y="3486150"/>
              <a:ext cx="4171950" cy="16002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48</xdr:col>
      <xdr:colOff>552450</xdr:colOff>
      <xdr:row>37</xdr:row>
      <xdr:rowOff>133350</xdr:rowOff>
    </xdr:from>
    <xdr:to>
      <xdr:col>55</xdr:col>
      <xdr:colOff>133350</xdr:colOff>
      <xdr:row>40</xdr:row>
      <xdr:rowOff>27772</xdr:rowOff>
    </xdr:to>
    <xdr:sp macro="" textlink="">
      <xdr:nvSpPr>
        <xdr:cNvPr id="38" name="TextBox 1">
          <a:extLst>
            <a:ext uri="{FF2B5EF4-FFF2-40B4-BE49-F238E27FC236}">
              <a16:creationId xmlns:a16="http://schemas.microsoft.com/office/drawing/2014/main" id="{C5DCBE70-EF5E-A7C6-ACFE-3E32C9F0A934}"/>
            </a:ext>
          </a:extLst>
        </xdr:cNvPr>
        <xdr:cNvSpPr txBox="1"/>
      </xdr:nvSpPr>
      <xdr:spPr>
        <a:xfrm>
          <a:off x="29813250" y="7181850"/>
          <a:ext cx="3848100" cy="465922"/>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800" b="1"/>
            <a:t>Payment Behaviour Patterns</a:t>
          </a:r>
        </a:p>
      </xdr:txBody>
    </xdr:sp>
    <xdr:clientData/>
  </xdr:twoCellAnchor>
  <xdr:twoCellAnchor>
    <xdr:from>
      <xdr:col>57</xdr:col>
      <xdr:colOff>304800</xdr:colOff>
      <xdr:row>16</xdr:row>
      <xdr:rowOff>152400</xdr:rowOff>
    </xdr:from>
    <xdr:to>
      <xdr:col>63</xdr:col>
      <xdr:colOff>514350</xdr:colOff>
      <xdr:row>18</xdr:row>
      <xdr:rowOff>114300</xdr:rowOff>
    </xdr:to>
    <xdr:sp macro="" textlink="">
      <xdr:nvSpPr>
        <xdr:cNvPr id="40" name="TextBox 1">
          <a:extLst>
            <a:ext uri="{FF2B5EF4-FFF2-40B4-BE49-F238E27FC236}">
              <a16:creationId xmlns:a16="http://schemas.microsoft.com/office/drawing/2014/main" id="{B5A7C5DF-BC62-336E-3DB6-25CDB0D54B40}"/>
            </a:ext>
          </a:extLst>
        </xdr:cNvPr>
        <xdr:cNvSpPr txBox="1"/>
      </xdr:nvSpPr>
      <xdr:spPr>
        <a:xfrm>
          <a:off x="35052000" y="3200400"/>
          <a:ext cx="3867150" cy="342900"/>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800" b="1">
              <a:solidFill>
                <a:schemeClr val="tx1">
                  <a:lumMod val="95000"/>
                  <a:lumOff val="5000"/>
                </a:schemeClr>
              </a:solidFill>
            </a:rPr>
            <a:t>Weekly Savings</a:t>
          </a:r>
          <a:r>
            <a:rPr lang="en-US" sz="1800" b="1" baseline="0">
              <a:solidFill>
                <a:schemeClr val="tx1">
                  <a:lumMod val="95000"/>
                  <a:lumOff val="5000"/>
                </a:schemeClr>
              </a:solidFill>
            </a:rPr>
            <a:t> Compliance</a:t>
          </a:r>
          <a:endParaRPr lang="en-US" sz="1800" b="1">
            <a:solidFill>
              <a:schemeClr val="tx1">
                <a:lumMod val="95000"/>
                <a:lumOff val="5000"/>
              </a:schemeClr>
            </a:solidFill>
          </a:endParaRPr>
        </a:p>
      </xdr:txBody>
    </xdr:sp>
    <xdr:clientData/>
  </xdr:twoCellAnchor>
  <xdr:twoCellAnchor>
    <xdr:from>
      <xdr:col>30</xdr:col>
      <xdr:colOff>400050</xdr:colOff>
      <xdr:row>38</xdr:row>
      <xdr:rowOff>133350</xdr:rowOff>
    </xdr:from>
    <xdr:to>
      <xdr:col>37</xdr:col>
      <xdr:colOff>361950</xdr:colOff>
      <xdr:row>40</xdr:row>
      <xdr:rowOff>133350</xdr:rowOff>
    </xdr:to>
    <xdr:sp macro="" textlink="">
      <xdr:nvSpPr>
        <xdr:cNvPr id="42" name="TextBox 41">
          <a:extLst>
            <a:ext uri="{FF2B5EF4-FFF2-40B4-BE49-F238E27FC236}">
              <a16:creationId xmlns:a16="http://schemas.microsoft.com/office/drawing/2014/main" id="{5B54A0B9-02E2-AB6F-ECA0-CED8ED15CE02}"/>
            </a:ext>
          </a:extLst>
        </xdr:cNvPr>
        <xdr:cNvSpPr txBox="1"/>
      </xdr:nvSpPr>
      <xdr:spPr>
        <a:xfrm>
          <a:off x="18688050" y="7372350"/>
          <a:ext cx="4229100" cy="38100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800" b="1">
              <a:solidFill>
                <a:schemeClr val="tx1">
                  <a:lumMod val="95000"/>
                  <a:lumOff val="5000"/>
                </a:schemeClr>
              </a:solidFill>
            </a:rPr>
            <a:t>Payment Summary</a:t>
          </a:r>
        </a:p>
      </xdr:txBody>
    </xdr:sp>
    <xdr:clientData/>
  </xdr:twoCellAnchor>
  <xdr:twoCellAnchor editAs="oneCell">
    <xdr:from>
      <xdr:col>62</xdr:col>
      <xdr:colOff>57150</xdr:colOff>
      <xdr:row>3</xdr:row>
      <xdr:rowOff>95250</xdr:rowOff>
    </xdr:from>
    <xdr:to>
      <xdr:col>63</xdr:col>
      <xdr:colOff>361950</xdr:colOff>
      <xdr:row>8</xdr:row>
      <xdr:rowOff>57150</xdr:rowOff>
    </xdr:to>
    <xdr:pic macro="[0]!Swtchprg">
      <xdr:nvPicPr>
        <xdr:cNvPr id="5" name="Graphic 4" descr="Monitor with solid fill">
          <a:extLst>
            <a:ext uri="{FF2B5EF4-FFF2-40B4-BE49-F238E27FC236}">
              <a16:creationId xmlns:a16="http://schemas.microsoft.com/office/drawing/2014/main" id="{352828D0-3A3C-CF64-BCA6-45B5B8884BEF}"/>
            </a:ext>
          </a:extLst>
        </xdr:cNvPr>
        <xdr:cNvPicPr>
          <a:picLocks noChangeAspect="1"/>
        </xdr:cNvPicPr>
      </xdr:nvPicPr>
      <xdr:blipFill>
        <a:blip xmlns:r="http://schemas.openxmlformats.org/officeDocument/2006/relationships" r:embed="rId6">
          <a:extLst>
            <a:ext uri="{96DAC541-7B7A-43D3-8B79-37D633B846F1}">
              <asvg:svgBlip xmlns:asvg="http://schemas.microsoft.com/office/drawing/2016/SVG/main" r:embed="rId7"/>
            </a:ext>
          </a:extLst>
        </a:blip>
        <a:stretch>
          <a:fillRect/>
        </a:stretch>
      </xdr:blipFill>
      <xdr:spPr>
        <a:xfrm>
          <a:off x="37852350" y="666750"/>
          <a:ext cx="914400" cy="914400"/>
        </a:xfrm>
        <a:prstGeom prst="rect">
          <a:avLst/>
        </a:prstGeom>
      </xdr:spPr>
    </xdr:pic>
    <xdr:clientData/>
  </xdr:twoCellAnchor>
  <xdr:twoCellAnchor editAs="oneCell">
    <xdr:from>
      <xdr:col>60</xdr:col>
      <xdr:colOff>200022</xdr:colOff>
      <xdr:row>3</xdr:row>
      <xdr:rowOff>114301</xdr:rowOff>
    </xdr:from>
    <xdr:to>
      <xdr:col>61</xdr:col>
      <xdr:colOff>466722</xdr:colOff>
      <xdr:row>8</xdr:row>
      <xdr:rowOff>38101</xdr:rowOff>
    </xdr:to>
    <xdr:pic macro="[0]!Refresh_All">
      <xdr:nvPicPr>
        <xdr:cNvPr id="2" name="Graphic 1" descr="Arrow circle with solid fill">
          <a:extLst>
            <a:ext uri="{FF2B5EF4-FFF2-40B4-BE49-F238E27FC236}">
              <a16:creationId xmlns:a16="http://schemas.microsoft.com/office/drawing/2014/main" id="{BA8F2652-61CF-4166-9EBC-9563F365AD42}"/>
            </a:ext>
          </a:extLst>
        </xdr:cNvPr>
        <xdr:cNvPicPr>
          <a:picLocks noChangeAspect="1"/>
        </xdr:cNvPicPr>
      </xdr:nvPicPr>
      <xdr:blipFill>
        <a:blip xmlns:r="http://schemas.openxmlformats.org/officeDocument/2006/relationships" r:embed="rId8">
          <a:extLst>
            <a:ext uri="{96DAC541-7B7A-43D3-8B79-37D633B846F1}">
              <asvg:svgBlip xmlns:asvg="http://schemas.microsoft.com/office/drawing/2016/SVG/main" r:embed="rId9"/>
            </a:ext>
          </a:extLst>
        </a:blip>
        <a:stretch>
          <a:fillRect/>
        </a:stretch>
      </xdr:blipFill>
      <xdr:spPr>
        <a:xfrm>
          <a:off x="36776022" y="685801"/>
          <a:ext cx="876300" cy="876300"/>
        </a:xfrm>
        <a:prstGeom prst="rect">
          <a:avLst/>
        </a:prstGeom>
      </xdr:spPr>
    </xdr:pic>
    <xdr:clientData/>
  </xdr:twoCellAnchor>
  <xdr:twoCellAnchor>
    <xdr:from>
      <xdr:col>41</xdr:col>
      <xdr:colOff>342900</xdr:colOff>
      <xdr:row>37</xdr:row>
      <xdr:rowOff>152400</xdr:rowOff>
    </xdr:from>
    <xdr:to>
      <xdr:col>47</xdr:col>
      <xdr:colOff>114300</xdr:colOff>
      <xdr:row>68</xdr:row>
      <xdr:rowOff>133350</xdr:rowOff>
    </xdr:to>
    <xdr:sp macro="" textlink="">
      <xdr:nvSpPr>
        <xdr:cNvPr id="3" name="Rectangle: Rounded Corners 2">
          <a:extLst>
            <a:ext uri="{FF2B5EF4-FFF2-40B4-BE49-F238E27FC236}">
              <a16:creationId xmlns:a16="http://schemas.microsoft.com/office/drawing/2014/main" id="{827EDF9C-E860-41A3-9999-398AACD41CAB}"/>
            </a:ext>
          </a:extLst>
        </xdr:cNvPr>
        <xdr:cNvSpPr/>
      </xdr:nvSpPr>
      <xdr:spPr>
        <a:xfrm>
          <a:off x="25336500" y="7200900"/>
          <a:ext cx="3429000" cy="5886450"/>
        </a:xfrm>
        <a:prstGeom prst="roundRect">
          <a:avLst>
            <a:gd name="adj" fmla="val 2683"/>
          </a:avLst>
        </a:prstGeom>
        <a:solidFill>
          <a:schemeClr val="bg1"/>
        </a:solidFill>
        <a:ln>
          <a:solidFill>
            <a:schemeClr val="tx1"/>
          </a:solidFill>
        </a:ln>
        <a:effectLst>
          <a:innerShdw blurRad="63500" dist="50800" dir="13500000">
            <a:prstClr val="black">
              <a:alpha val="50000"/>
            </a:prstClr>
          </a:inn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41</xdr:col>
      <xdr:colOff>514350</xdr:colOff>
      <xdr:row>38</xdr:row>
      <xdr:rowOff>57150</xdr:rowOff>
    </xdr:from>
    <xdr:to>
      <xdr:col>46</xdr:col>
      <xdr:colOff>590550</xdr:colOff>
      <xdr:row>40</xdr:row>
      <xdr:rowOff>57149</xdr:rowOff>
    </xdr:to>
    <xdr:sp macro="" textlink="">
      <xdr:nvSpPr>
        <xdr:cNvPr id="4" name="TextBox 1">
          <a:extLst>
            <a:ext uri="{FF2B5EF4-FFF2-40B4-BE49-F238E27FC236}">
              <a16:creationId xmlns:a16="http://schemas.microsoft.com/office/drawing/2014/main" id="{A3A9350F-0B24-443F-86D5-35493583930C}"/>
            </a:ext>
          </a:extLst>
        </xdr:cNvPr>
        <xdr:cNvSpPr txBox="1"/>
      </xdr:nvSpPr>
      <xdr:spPr>
        <a:xfrm>
          <a:off x="25507950" y="7296150"/>
          <a:ext cx="3124200" cy="380999"/>
        </a:xfrm>
        <a:prstGeom prst="rect">
          <a:avLst/>
        </a:prstGeom>
      </xdr:spPr>
      <xdr:txBody>
        <a:bodyPr wrap="square" rtlCol="0"/>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l"/>
          <a:r>
            <a:rPr lang="en-US" sz="1800" b="1"/>
            <a:t>Missed</a:t>
          </a:r>
          <a:r>
            <a:rPr lang="en-US" sz="1800" b="1" baseline="0"/>
            <a:t> Weeks Risks by Saver</a:t>
          </a:r>
          <a:endParaRPr lang="en-US" sz="1800" b="1"/>
        </a:p>
      </xdr:txBody>
    </xdr:sp>
    <xdr:clientData/>
  </xdr:twoCellAnchor>
  <xdr:twoCellAnchor>
    <xdr:from>
      <xdr:col>41</xdr:col>
      <xdr:colOff>476250</xdr:colOff>
      <xdr:row>41</xdr:row>
      <xdr:rowOff>38100</xdr:rowOff>
    </xdr:from>
    <xdr:to>
      <xdr:col>47</xdr:col>
      <xdr:colOff>38100</xdr:colOff>
      <xdr:row>68</xdr:row>
      <xdr:rowOff>38100</xdr:rowOff>
    </xdr:to>
    <xdr:graphicFrame macro="">
      <xdr:nvGraphicFramePr>
        <xdr:cNvPr id="6" name="Chart 5">
          <a:extLst>
            <a:ext uri="{FF2B5EF4-FFF2-40B4-BE49-F238E27FC236}">
              <a16:creationId xmlns:a16="http://schemas.microsoft.com/office/drawing/2014/main" id="{57F528F4-D907-40B8-850E-CBA1A168C68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27</xdr:col>
      <xdr:colOff>57150</xdr:colOff>
      <xdr:row>3</xdr:row>
      <xdr:rowOff>152400</xdr:rowOff>
    </xdr:from>
    <xdr:to>
      <xdr:col>47</xdr:col>
      <xdr:colOff>381000</xdr:colOff>
      <xdr:row>7</xdr:row>
      <xdr:rowOff>133350</xdr:rowOff>
    </xdr:to>
    <xdr:sp macro="" textlink="">
      <xdr:nvSpPr>
        <xdr:cNvPr id="7" name="TextBox 6">
          <a:extLst>
            <a:ext uri="{FF2B5EF4-FFF2-40B4-BE49-F238E27FC236}">
              <a16:creationId xmlns:a16="http://schemas.microsoft.com/office/drawing/2014/main" id="{1842C1D6-BD8F-451D-6E49-8307DAECA60E}"/>
            </a:ext>
          </a:extLst>
        </xdr:cNvPr>
        <xdr:cNvSpPr txBox="1"/>
      </xdr:nvSpPr>
      <xdr:spPr>
        <a:xfrm>
          <a:off x="16516350" y="723900"/>
          <a:ext cx="12515850" cy="742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l"/>
          <a:r>
            <a:rPr lang="en-US" sz="4000" b="1">
              <a:solidFill>
                <a:sysClr val="windowText" lastClr="000000"/>
              </a:solidFill>
            </a:rPr>
            <a:t>FAMILY SAVINGS TRACKER:</a:t>
          </a:r>
          <a:r>
            <a:rPr lang="en-US" sz="4000" b="1" baseline="0">
              <a:solidFill>
                <a:sysClr val="windowText" lastClr="000000"/>
              </a:solidFill>
            </a:rPr>
            <a:t> DASHBOARD ANALYSIS</a:t>
          </a:r>
          <a:endParaRPr lang="en-US" sz="4000" b="1">
            <a:solidFill>
              <a:sysClr val="windowText" lastClr="000000"/>
            </a:solidFill>
          </a:endParaRPr>
        </a:p>
      </xdr:txBody>
    </xdr:sp>
    <xdr:clientData/>
  </xdr:twoCellAnchor>
  <xdr:twoCellAnchor editAs="oneCell">
    <xdr:from>
      <xdr:col>56</xdr:col>
      <xdr:colOff>361950</xdr:colOff>
      <xdr:row>10</xdr:row>
      <xdr:rowOff>38100</xdr:rowOff>
    </xdr:from>
    <xdr:to>
      <xdr:col>63</xdr:col>
      <xdr:colOff>571500</xdr:colOff>
      <xdr:row>14</xdr:row>
      <xdr:rowOff>47625</xdr:rowOff>
    </xdr:to>
    <mc:AlternateContent xmlns:mc="http://schemas.openxmlformats.org/markup-compatibility/2006" xmlns:a14="http://schemas.microsoft.com/office/drawing/2010/main">
      <mc:Choice Requires="a14">
        <xdr:graphicFrame macro="">
          <xdr:nvGraphicFramePr>
            <xdr:cNvPr id="8" name="Month 1">
              <a:extLst>
                <a:ext uri="{FF2B5EF4-FFF2-40B4-BE49-F238E27FC236}">
                  <a16:creationId xmlns:a16="http://schemas.microsoft.com/office/drawing/2014/main" id="{3AA0052E-675B-4B79-BBCA-59ECE145BD1F}"/>
                </a:ext>
              </a:extLst>
            </xdr:cNvPr>
            <xdr:cNvGraphicFramePr/>
          </xdr:nvGraphicFramePr>
          <xdr:xfrm>
            <a:off x="0" y="0"/>
            <a:ext cx="0" cy="0"/>
          </xdr:xfrm>
          <a:graphic>
            <a:graphicData uri="http://schemas.microsoft.com/office/drawing/2010/slicer">
              <sle:slicer xmlns:sle="http://schemas.microsoft.com/office/drawing/2010/slicer" name="Month 1"/>
            </a:graphicData>
          </a:graphic>
        </xdr:graphicFrame>
      </mc:Choice>
      <mc:Fallback xmlns="">
        <xdr:sp macro="" textlink="">
          <xdr:nvSpPr>
            <xdr:cNvPr id="0" name=""/>
            <xdr:cNvSpPr>
              <a:spLocks noTextEdit="1"/>
            </xdr:cNvSpPr>
          </xdr:nvSpPr>
          <xdr:spPr>
            <a:xfrm>
              <a:off x="34499550" y="1943100"/>
              <a:ext cx="4476750" cy="771525"/>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48</xdr:col>
      <xdr:colOff>247650</xdr:colOff>
      <xdr:row>3</xdr:row>
      <xdr:rowOff>114300</xdr:rowOff>
    </xdr:from>
    <xdr:to>
      <xdr:col>51</xdr:col>
      <xdr:colOff>57150</xdr:colOff>
      <xdr:row>6</xdr:row>
      <xdr:rowOff>38100</xdr:rowOff>
    </xdr:to>
    <xdr:sp macro="" textlink="PT_Actual_vs_Expected!A18">
      <xdr:nvSpPr>
        <xdr:cNvPr id="9" name="TextBox 8">
          <a:extLst>
            <a:ext uri="{FF2B5EF4-FFF2-40B4-BE49-F238E27FC236}">
              <a16:creationId xmlns:a16="http://schemas.microsoft.com/office/drawing/2014/main" id="{075347FB-1AC0-A2CA-6067-7B4A9C5A9AA5}"/>
            </a:ext>
          </a:extLst>
        </xdr:cNvPr>
        <xdr:cNvSpPr txBox="1"/>
      </xdr:nvSpPr>
      <xdr:spPr>
        <a:xfrm>
          <a:off x="29508450" y="685800"/>
          <a:ext cx="1638300" cy="4953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13F407A-962A-4B3E-ABB2-4F819984D472}" type="TxLink">
            <a:rPr lang="en-US" sz="2800" b="1" i="0" u="none" strike="noStrike">
              <a:solidFill>
                <a:sysClr val="windowText" lastClr="000000"/>
              </a:solidFill>
              <a:latin typeface="Aptos Narrow"/>
            </a:rPr>
            <a:pPr algn="ctr"/>
            <a:t>₦26,000</a:t>
          </a:fld>
          <a:endParaRPr lang="en-US" sz="2800" b="1">
            <a:solidFill>
              <a:sysClr val="windowText" lastClr="000000"/>
            </a:solidFill>
          </a:endParaRPr>
        </a:p>
      </xdr:txBody>
    </xdr:sp>
    <xdr:clientData/>
  </xdr:twoCellAnchor>
  <xdr:twoCellAnchor editAs="oneCell">
    <xdr:from>
      <xdr:col>46</xdr:col>
      <xdr:colOff>495300</xdr:colOff>
      <xdr:row>3</xdr:row>
      <xdr:rowOff>38100</xdr:rowOff>
    </xdr:from>
    <xdr:to>
      <xdr:col>48</xdr:col>
      <xdr:colOff>285750</xdr:colOff>
      <xdr:row>7</xdr:row>
      <xdr:rowOff>95250</xdr:rowOff>
    </xdr:to>
    <xdr:pic>
      <xdr:nvPicPr>
        <xdr:cNvPr id="16" name="Graphic 15" descr="Piggy Bank with solid fill">
          <a:extLst>
            <a:ext uri="{FF2B5EF4-FFF2-40B4-BE49-F238E27FC236}">
              <a16:creationId xmlns:a16="http://schemas.microsoft.com/office/drawing/2014/main" id="{9F39D0CF-D0AC-A8E2-3F5F-923B8546426B}"/>
            </a:ext>
          </a:extLst>
        </xdr:cNvPr>
        <xdr:cNvPicPr>
          <a:picLocks noChangeAspect="1"/>
        </xdr:cNvPicPr>
      </xdr:nvPicPr>
      <xdr:blipFill>
        <a:blip xmlns:r="http://schemas.openxmlformats.org/officeDocument/2006/relationships" r:embed="rId11">
          <a:extLst>
            <a:ext uri="{96DAC541-7B7A-43D3-8B79-37D633B846F1}">
              <asvg:svgBlip xmlns:asvg="http://schemas.microsoft.com/office/drawing/2016/SVG/main" r:embed="rId12"/>
            </a:ext>
          </a:extLst>
        </a:blip>
        <a:stretch>
          <a:fillRect/>
        </a:stretch>
      </xdr:blipFill>
      <xdr:spPr>
        <a:xfrm>
          <a:off x="28536900" y="609600"/>
          <a:ext cx="1009650" cy="819150"/>
        </a:xfrm>
        <a:prstGeom prst="rect">
          <a:avLst/>
        </a:prstGeom>
      </xdr:spPr>
    </xdr:pic>
    <xdr:clientData/>
  </xdr:twoCellAnchor>
  <xdr:twoCellAnchor>
    <xdr:from>
      <xdr:col>48</xdr:col>
      <xdr:colOff>19050</xdr:colOff>
      <xdr:row>6</xdr:row>
      <xdr:rowOff>95250</xdr:rowOff>
    </xdr:from>
    <xdr:to>
      <xdr:col>51</xdr:col>
      <xdr:colOff>266700</xdr:colOff>
      <xdr:row>8</xdr:row>
      <xdr:rowOff>76200</xdr:rowOff>
    </xdr:to>
    <xdr:sp macro="" textlink="">
      <xdr:nvSpPr>
        <xdr:cNvPr id="17" name="TextBox 16">
          <a:extLst>
            <a:ext uri="{FF2B5EF4-FFF2-40B4-BE49-F238E27FC236}">
              <a16:creationId xmlns:a16="http://schemas.microsoft.com/office/drawing/2014/main" id="{48CBD76B-20B7-3540-B340-BFF0F8DC2C80}"/>
            </a:ext>
          </a:extLst>
        </xdr:cNvPr>
        <xdr:cNvSpPr txBox="1"/>
      </xdr:nvSpPr>
      <xdr:spPr>
        <a:xfrm>
          <a:off x="29279850" y="1238250"/>
          <a:ext cx="2076450" cy="36195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2000" b="1">
              <a:solidFill>
                <a:sysClr val="windowText" lastClr="000000"/>
              </a:solidFill>
            </a:rPr>
            <a:t>Total Saved</a:t>
          </a:r>
        </a:p>
      </xdr:txBody>
    </xdr:sp>
    <xdr:clientData/>
  </xdr:twoCellAnchor>
</xdr:wsDr>
</file>

<file path=xl/drawings/drawing2.xml><?xml version="1.0" encoding="utf-8"?>
<c:userShapes xmlns:c="http://schemas.openxmlformats.org/drawingml/2006/chart">
  <cdr:relSizeAnchor xmlns:cdr="http://schemas.openxmlformats.org/drawingml/2006/chartDrawing">
    <cdr:from>
      <cdr:x>0.54714</cdr:x>
      <cdr:y>0.02556</cdr:y>
    </cdr:from>
    <cdr:to>
      <cdr:x>0.95009</cdr:x>
      <cdr:y>0.08271</cdr:y>
    </cdr:to>
    <cdr:sp macro="" textlink="">
      <cdr:nvSpPr>
        <cdr:cNvPr id="2" name="TextBox 1">
          <a:extLst xmlns:a="http://schemas.openxmlformats.org/drawingml/2006/main">
            <a:ext uri="{FF2B5EF4-FFF2-40B4-BE49-F238E27FC236}">
              <a16:creationId xmlns:a16="http://schemas.microsoft.com/office/drawing/2014/main" id="{EBACE63C-0EDC-FAAB-2A00-9F3A1B83B98A}"/>
            </a:ext>
          </a:extLst>
        </cdr:cNvPr>
        <cdr:cNvSpPr txBox="1"/>
      </cdr:nvSpPr>
      <cdr:spPr>
        <a:xfrm xmlns:a="http://schemas.openxmlformats.org/drawingml/2006/main">
          <a:off x="2819401" y="80964"/>
          <a:ext cx="2076450" cy="180975"/>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endParaRPr lang="en-US" sz="1100"/>
        </a:p>
      </cdr:txBody>
    </cdr:sp>
  </cdr:relSizeAnchor>
</c:userShapes>
</file>

<file path=xl/drawings/drawing3.xml><?xml version="1.0" encoding="utf-8"?>
<c:userShapes xmlns:c="http://schemas.openxmlformats.org/drawingml/2006/chart">
  <cdr:relSizeAnchor xmlns:cdr="http://schemas.openxmlformats.org/drawingml/2006/chartDrawing">
    <cdr:from>
      <cdr:x>0.59928</cdr:x>
      <cdr:y>0.02318</cdr:y>
    </cdr:from>
    <cdr:to>
      <cdr:x>0.96959</cdr:x>
      <cdr:y>0.08501</cdr:y>
    </cdr:to>
    <cdr:sp macro="" textlink="">
      <cdr:nvSpPr>
        <cdr:cNvPr id="2" name="TextBox 1">
          <a:extLst xmlns:a="http://schemas.openxmlformats.org/drawingml/2006/main">
            <a:ext uri="{FF2B5EF4-FFF2-40B4-BE49-F238E27FC236}">
              <a16:creationId xmlns:a16="http://schemas.microsoft.com/office/drawing/2014/main" id="{E9FB1020-9360-E671-5C83-D71BE84BE9F6}"/>
            </a:ext>
          </a:extLst>
        </cdr:cNvPr>
        <cdr:cNvSpPr txBox="1"/>
      </cdr:nvSpPr>
      <cdr:spPr>
        <a:xfrm xmlns:a="http://schemas.openxmlformats.org/drawingml/2006/main">
          <a:off x="3190876" y="71438"/>
          <a:ext cx="1971675" cy="190500"/>
        </a:xfrm>
        <a:prstGeom xmlns:a="http://schemas.openxmlformats.org/drawingml/2006/main" prst="rect">
          <a:avLst/>
        </a:prstGeom>
      </cdr:spPr>
      <cdr:txBody>
        <a:bodyPr xmlns:a="http://schemas.openxmlformats.org/drawingml/2006/main" vertOverflow="clip" wrap="square" rtlCol="0"/>
        <a:lstStyle xmlns:a="http://schemas.openxmlformats.org/drawingml/2006/main"/>
        <a:p xmlns:a="http://schemas.openxmlformats.org/drawingml/2006/main">
          <a:pPr algn="l"/>
          <a:endParaRPr 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15</xdr:col>
      <xdr:colOff>209548</xdr:colOff>
      <xdr:row>0</xdr:row>
      <xdr:rowOff>114301</xdr:rowOff>
    </xdr:from>
    <xdr:to>
      <xdr:col>35</xdr:col>
      <xdr:colOff>323849</xdr:colOff>
      <xdr:row>24</xdr:row>
      <xdr:rowOff>1</xdr:rowOff>
    </xdr:to>
    <xdr:sp macro="" textlink="">
      <xdr:nvSpPr>
        <xdr:cNvPr id="2" name="Rectangle: Rounded Corners 1">
          <a:extLst>
            <a:ext uri="{FF2B5EF4-FFF2-40B4-BE49-F238E27FC236}">
              <a16:creationId xmlns:a16="http://schemas.microsoft.com/office/drawing/2014/main" id="{B12BCE36-92EB-F250-649A-FC5514949AFF}"/>
            </a:ext>
          </a:extLst>
        </xdr:cNvPr>
        <xdr:cNvSpPr/>
      </xdr:nvSpPr>
      <xdr:spPr>
        <a:xfrm>
          <a:off x="11734798" y="114301"/>
          <a:ext cx="12306301" cy="4533900"/>
        </a:xfrm>
        <a:prstGeom prst="roundRect">
          <a:avLst>
            <a:gd name="adj" fmla="val 2296"/>
          </a:avLst>
        </a:prstGeom>
        <a:solidFill>
          <a:schemeClr val="tx1">
            <a:lumMod val="65000"/>
            <a:lumOff val="35000"/>
            <a:alpha val="85098"/>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247650</xdr:colOff>
      <xdr:row>13</xdr:row>
      <xdr:rowOff>161925</xdr:rowOff>
    </xdr:from>
    <xdr:to>
      <xdr:col>35</xdr:col>
      <xdr:colOff>257175</xdr:colOff>
      <xdr:row>23</xdr:row>
      <xdr:rowOff>114300</xdr:rowOff>
    </xdr:to>
    <xdr:sp macro="" textlink="">
      <xdr:nvSpPr>
        <xdr:cNvPr id="11" name="Rectangle: Rounded Corners 10">
          <a:extLst>
            <a:ext uri="{FF2B5EF4-FFF2-40B4-BE49-F238E27FC236}">
              <a16:creationId xmlns:a16="http://schemas.microsoft.com/office/drawing/2014/main" id="{FCF271E2-9EF9-4CE7-980B-9C31D85AA1E0}"/>
            </a:ext>
          </a:extLst>
        </xdr:cNvPr>
        <xdr:cNvSpPr/>
      </xdr:nvSpPr>
      <xdr:spPr>
        <a:xfrm>
          <a:off x="17868900" y="2714625"/>
          <a:ext cx="6105525" cy="1857375"/>
        </a:xfrm>
        <a:prstGeom prst="roundRect">
          <a:avLst>
            <a:gd name="adj" fmla="val 2296"/>
          </a:avLst>
        </a:prstGeom>
        <a:solidFill>
          <a:schemeClr val="tx1">
            <a:alpha val="84706"/>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25</xdr:col>
      <xdr:colOff>266700</xdr:colOff>
      <xdr:row>5</xdr:row>
      <xdr:rowOff>0</xdr:rowOff>
    </xdr:from>
    <xdr:to>
      <xdr:col>33</xdr:col>
      <xdr:colOff>228600</xdr:colOff>
      <xdr:row>13</xdr:row>
      <xdr:rowOff>123825</xdr:rowOff>
    </xdr:to>
    <xdr:sp macro="" textlink="">
      <xdr:nvSpPr>
        <xdr:cNvPr id="12" name="Rectangle: Rounded Corners 11">
          <a:extLst>
            <a:ext uri="{FF2B5EF4-FFF2-40B4-BE49-F238E27FC236}">
              <a16:creationId xmlns:a16="http://schemas.microsoft.com/office/drawing/2014/main" id="{A612273D-1DE5-4AF5-AF50-FFD35B8E568E}"/>
            </a:ext>
          </a:extLst>
        </xdr:cNvPr>
        <xdr:cNvSpPr/>
      </xdr:nvSpPr>
      <xdr:spPr>
        <a:xfrm>
          <a:off x="17887950" y="1028700"/>
          <a:ext cx="4838700" cy="1647825"/>
        </a:xfrm>
        <a:prstGeom prst="roundRect">
          <a:avLst>
            <a:gd name="adj" fmla="val 2296"/>
          </a:avLst>
        </a:prstGeom>
        <a:solidFill>
          <a:schemeClr val="tx1">
            <a:alpha val="84706"/>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257175</xdr:colOff>
      <xdr:row>4</xdr:row>
      <xdr:rowOff>171451</xdr:rowOff>
    </xdr:from>
    <xdr:to>
      <xdr:col>25</xdr:col>
      <xdr:colOff>200024</xdr:colOff>
      <xdr:row>23</xdr:row>
      <xdr:rowOff>104775</xdr:rowOff>
    </xdr:to>
    <xdr:sp macro="" textlink="">
      <xdr:nvSpPr>
        <xdr:cNvPr id="13" name="Rectangle: Rounded Corners 12">
          <a:extLst>
            <a:ext uri="{FF2B5EF4-FFF2-40B4-BE49-F238E27FC236}">
              <a16:creationId xmlns:a16="http://schemas.microsoft.com/office/drawing/2014/main" id="{4DA965FB-68D4-44C5-AF74-7032E7B9EC95}"/>
            </a:ext>
          </a:extLst>
        </xdr:cNvPr>
        <xdr:cNvSpPr/>
      </xdr:nvSpPr>
      <xdr:spPr>
        <a:xfrm>
          <a:off x="11782425" y="1009651"/>
          <a:ext cx="6038849" cy="3552824"/>
        </a:xfrm>
        <a:prstGeom prst="roundRect">
          <a:avLst>
            <a:gd name="adj" fmla="val 2296"/>
          </a:avLst>
        </a:prstGeom>
        <a:solidFill>
          <a:schemeClr val="tx1">
            <a:alpha val="84706"/>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33</xdr:col>
      <xdr:colOff>285750</xdr:colOff>
      <xdr:row>4</xdr:row>
      <xdr:rowOff>180975</xdr:rowOff>
    </xdr:from>
    <xdr:to>
      <xdr:col>35</xdr:col>
      <xdr:colOff>247650</xdr:colOff>
      <xdr:row>13</xdr:row>
      <xdr:rowOff>104775</xdr:rowOff>
    </xdr:to>
    <xdr:sp macro="" textlink="">
      <xdr:nvSpPr>
        <xdr:cNvPr id="14" name="Rectangle: Rounded Corners 13">
          <a:extLst>
            <a:ext uri="{FF2B5EF4-FFF2-40B4-BE49-F238E27FC236}">
              <a16:creationId xmlns:a16="http://schemas.microsoft.com/office/drawing/2014/main" id="{9613E5BD-2E40-4A9B-A2E6-6819EA437ACC}"/>
            </a:ext>
          </a:extLst>
        </xdr:cNvPr>
        <xdr:cNvSpPr/>
      </xdr:nvSpPr>
      <xdr:spPr>
        <a:xfrm>
          <a:off x="22783800" y="1019175"/>
          <a:ext cx="1181100" cy="1638300"/>
        </a:xfrm>
        <a:prstGeom prst="roundRect">
          <a:avLst>
            <a:gd name="adj" fmla="val 2296"/>
          </a:avLst>
        </a:prstGeom>
        <a:solidFill>
          <a:schemeClr val="tx1">
            <a:alpha val="84706"/>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xdr:from>
      <xdr:col>15</xdr:col>
      <xdr:colOff>276225</xdr:colOff>
      <xdr:row>0</xdr:row>
      <xdr:rowOff>180975</xdr:rowOff>
    </xdr:from>
    <xdr:to>
      <xdr:col>35</xdr:col>
      <xdr:colOff>247650</xdr:colOff>
      <xdr:row>4</xdr:row>
      <xdr:rowOff>142875</xdr:rowOff>
    </xdr:to>
    <xdr:sp macro="" textlink="">
      <xdr:nvSpPr>
        <xdr:cNvPr id="15" name="Rectangle: Rounded Corners 14">
          <a:extLst>
            <a:ext uri="{FF2B5EF4-FFF2-40B4-BE49-F238E27FC236}">
              <a16:creationId xmlns:a16="http://schemas.microsoft.com/office/drawing/2014/main" id="{938DC180-A1C2-4DF4-8220-010C689E3C73}"/>
            </a:ext>
          </a:extLst>
        </xdr:cNvPr>
        <xdr:cNvSpPr/>
      </xdr:nvSpPr>
      <xdr:spPr>
        <a:xfrm>
          <a:off x="11801475" y="180975"/>
          <a:ext cx="12163425" cy="800100"/>
        </a:xfrm>
        <a:prstGeom prst="roundRect">
          <a:avLst>
            <a:gd name="adj" fmla="val 2296"/>
          </a:avLst>
        </a:prstGeom>
        <a:solidFill>
          <a:schemeClr val="tx1">
            <a:alpha val="84706"/>
          </a:schemeClr>
        </a:solidFill>
        <a:ln>
          <a:no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xdr:twoCellAnchor editAs="oneCell">
    <xdr:from>
      <xdr:col>33</xdr:col>
      <xdr:colOff>314325</xdr:colOff>
      <xdr:row>5</xdr:row>
      <xdr:rowOff>57150</xdr:rowOff>
    </xdr:from>
    <xdr:to>
      <xdr:col>35</xdr:col>
      <xdr:colOff>209550</xdr:colOff>
      <xdr:row>13</xdr:row>
      <xdr:rowOff>76200</xdr:rowOff>
    </xdr:to>
    <mc:AlternateContent xmlns:mc="http://schemas.openxmlformats.org/markup-compatibility/2006" xmlns:a14="http://schemas.microsoft.com/office/drawing/2010/main">
      <mc:Choice Requires="a14">
        <xdr:graphicFrame macro="">
          <xdr:nvGraphicFramePr>
            <xdr:cNvPr id="16" name="Month">
              <a:extLst>
                <a:ext uri="{FF2B5EF4-FFF2-40B4-BE49-F238E27FC236}">
                  <a16:creationId xmlns:a16="http://schemas.microsoft.com/office/drawing/2014/main" id="{8E9D12C9-4AD2-4D6B-9264-C60E85058993}"/>
                </a:ext>
              </a:extLst>
            </xdr:cNvPr>
            <xdr:cNvGraphicFramePr/>
          </xdr:nvGraphicFramePr>
          <xdr:xfrm>
            <a:off x="0" y="0"/>
            <a:ext cx="0" cy="0"/>
          </xdr:xfrm>
          <a:graphic>
            <a:graphicData uri="http://schemas.microsoft.com/office/drawing/2010/slicer">
              <sle:slicer xmlns:sle="http://schemas.microsoft.com/office/drawing/2010/slicer" name="Month"/>
            </a:graphicData>
          </a:graphic>
        </xdr:graphicFrame>
      </mc:Choice>
      <mc:Fallback xmlns="">
        <xdr:sp macro="" textlink="">
          <xdr:nvSpPr>
            <xdr:cNvPr id="0" name=""/>
            <xdr:cNvSpPr>
              <a:spLocks noTextEdit="1"/>
            </xdr:cNvSpPr>
          </xdr:nvSpPr>
          <xdr:spPr>
            <a:xfrm>
              <a:off x="22812375" y="1085850"/>
              <a:ext cx="1114425" cy="154305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25</xdr:col>
      <xdr:colOff>295275</xdr:colOff>
      <xdr:row>14</xdr:row>
      <xdr:rowOff>171450</xdr:rowOff>
    </xdr:from>
    <xdr:to>
      <xdr:col>35</xdr:col>
      <xdr:colOff>209551</xdr:colOff>
      <xdr:row>23</xdr:row>
      <xdr:rowOff>85724</xdr:rowOff>
    </xdr:to>
    <xdr:graphicFrame macro="">
      <xdr:nvGraphicFramePr>
        <xdr:cNvPr id="17" name="Chart 16">
          <a:extLst>
            <a:ext uri="{FF2B5EF4-FFF2-40B4-BE49-F238E27FC236}">
              <a16:creationId xmlns:a16="http://schemas.microsoft.com/office/drawing/2014/main" id="{02418F7A-846C-49DE-91EF-1B873C82EFB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295276</xdr:colOff>
      <xdr:row>5</xdr:row>
      <xdr:rowOff>133350</xdr:rowOff>
    </xdr:from>
    <xdr:to>
      <xdr:col>25</xdr:col>
      <xdr:colOff>161926</xdr:colOff>
      <xdr:row>23</xdr:row>
      <xdr:rowOff>76199</xdr:rowOff>
    </xdr:to>
    <xdr:graphicFrame macro="">
      <xdr:nvGraphicFramePr>
        <xdr:cNvPr id="18" name="Chart 17">
          <a:extLst>
            <a:ext uri="{FF2B5EF4-FFF2-40B4-BE49-F238E27FC236}">
              <a16:creationId xmlns:a16="http://schemas.microsoft.com/office/drawing/2014/main" id="{C98EE5B7-5346-4693-A7F3-FE6269C17B5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25</xdr:col>
      <xdr:colOff>295274</xdr:colOff>
      <xdr:row>5</xdr:row>
      <xdr:rowOff>152400</xdr:rowOff>
    </xdr:from>
    <xdr:to>
      <xdr:col>33</xdr:col>
      <xdr:colOff>190499</xdr:colOff>
      <xdr:row>13</xdr:row>
      <xdr:rowOff>95251</xdr:rowOff>
    </xdr:to>
    <xdr:graphicFrame macro="">
      <xdr:nvGraphicFramePr>
        <xdr:cNvPr id="19" name="Chart 18">
          <a:extLst>
            <a:ext uri="{FF2B5EF4-FFF2-40B4-BE49-F238E27FC236}">
              <a16:creationId xmlns:a16="http://schemas.microsoft.com/office/drawing/2014/main" id="{4D23FBD2-DAE3-4CDB-8FEE-1DAF2D30E5E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66675</xdr:colOff>
      <xdr:row>4</xdr:row>
      <xdr:rowOff>104776</xdr:rowOff>
    </xdr:from>
    <xdr:to>
      <xdr:col>23</xdr:col>
      <xdr:colOff>131856</xdr:colOff>
      <xdr:row>6</xdr:row>
      <xdr:rowOff>18038</xdr:rowOff>
    </xdr:to>
    <xdr:sp macro="" textlink="">
      <xdr:nvSpPr>
        <xdr:cNvPr id="20" name="TextBox 1">
          <a:extLst>
            <a:ext uri="{FF2B5EF4-FFF2-40B4-BE49-F238E27FC236}">
              <a16:creationId xmlns:a16="http://schemas.microsoft.com/office/drawing/2014/main" id="{AE71A462-B941-927F-C10B-F2993A702A87}"/>
            </a:ext>
          </a:extLst>
        </xdr:cNvPr>
        <xdr:cNvSpPr txBox="1"/>
      </xdr:nvSpPr>
      <xdr:spPr>
        <a:xfrm>
          <a:off x="12811125" y="942976"/>
          <a:ext cx="3722781" cy="294262"/>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100">
              <a:solidFill>
                <a:schemeClr val="bg1"/>
              </a:solidFill>
            </a:rPr>
            <a:t>Monthly Exchange</a:t>
          </a:r>
          <a:r>
            <a:rPr lang="en-US" sz="1100" baseline="0">
              <a:solidFill>
                <a:schemeClr val="bg1"/>
              </a:solidFill>
            </a:rPr>
            <a:t> Rate Trend </a:t>
          </a:r>
          <a:endParaRPr lang="en-US" sz="1100">
            <a:solidFill>
              <a:schemeClr val="bg1"/>
            </a:solidFill>
          </a:endParaRPr>
        </a:p>
      </xdr:txBody>
    </xdr:sp>
    <xdr:clientData/>
  </xdr:twoCellAnchor>
  <xdr:twoCellAnchor>
    <xdr:from>
      <xdr:col>27</xdr:col>
      <xdr:colOff>190500</xdr:colOff>
      <xdr:row>5</xdr:row>
      <xdr:rowOff>28575</xdr:rowOff>
    </xdr:from>
    <xdr:to>
      <xdr:col>32</xdr:col>
      <xdr:colOff>121245</xdr:colOff>
      <xdr:row>5</xdr:row>
      <xdr:rowOff>121984</xdr:rowOff>
    </xdr:to>
    <xdr:sp macro="" textlink="">
      <xdr:nvSpPr>
        <xdr:cNvPr id="21" name="TextBox 1">
          <a:extLst>
            <a:ext uri="{FF2B5EF4-FFF2-40B4-BE49-F238E27FC236}">
              <a16:creationId xmlns:a16="http://schemas.microsoft.com/office/drawing/2014/main" id="{E91DB4AA-794B-2584-5893-9C6C53058A46}"/>
            </a:ext>
          </a:extLst>
        </xdr:cNvPr>
        <xdr:cNvSpPr txBox="1"/>
      </xdr:nvSpPr>
      <xdr:spPr>
        <a:xfrm>
          <a:off x="19030950" y="1057275"/>
          <a:ext cx="2978745" cy="93409"/>
        </a:xfrm>
        <a:prstGeom prst="rect">
          <a:avLst/>
        </a:prstGeom>
      </xdr:spPr>
      <xdr:txBody>
        <a:bodyPr wrap="square" rtlCol="0" anchor="ctr"/>
        <a:lstStyle>
          <a:lvl1pPr marL="0" indent="0">
            <a:defRPr sz="1100">
              <a:latin typeface="+mn-lt"/>
              <a:ea typeface="+mn-ea"/>
              <a:cs typeface="+mn-cs"/>
            </a:defRPr>
          </a:lvl1pPr>
          <a:lvl2pPr marL="457200" indent="0">
            <a:defRPr sz="1100">
              <a:latin typeface="+mn-lt"/>
              <a:ea typeface="+mn-ea"/>
              <a:cs typeface="+mn-cs"/>
            </a:defRPr>
          </a:lvl2pPr>
          <a:lvl3pPr marL="914400" indent="0">
            <a:defRPr sz="1100">
              <a:latin typeface="+mn-lt"/>
              <a:ea typeface="+mn-ea"/>
              <a:cs typeface="+mn-cs"/>
            </a:defRPr>
          </a:lvl3pPr>
          <a:lvl4pPr marL="1371600" indent="0">
            <a:defRPr sz="1100">
              <a:latin typeface="+mn-lt"/>
              <a:ea typeface="+mn-ea"/>
              <a:cs typeface="+mn-cs"/>
            </a:defRPr>
          </a:lvl4pPr>
          <a:lvl5pPr marL="1828800" indent="0">
            <a:defRPr sz="1100">
              <a:latin typeface="+mn-lt"/>
              <a:ea typeface="+mn-ea"/>
              <a:cs typeface="+mn-cs"/>
            </a:defRPr>
          </a:lvl5pPr>
          <a:lvl6pPr marL="2286000" indent="0">
            <a:defRPr sz="1100">
              <a:latin typeface="+mn-lt"/>
              <a:ea typeface="+mn-ea"/>
              <a:cs typeface="+mn-cs"/>
            </a:defRPr>
          </a:lvl6pPr>
          <a:lvl7pPr marL="2743200" indent="0">
            <a:defRPr sz="1100">
              <a:latin typeface="+mn-lt"/>
              <a:ea typeface="+mn-ea"/>
              <a:cs typeface="+mn-cs"/>
            </a:defRPr>
          </a:lvl7pPr>
          <a:lvl8pPr marL="3200400" indent="0">
            <a:defRPr sz="1100">
              <a:latin typeface="+mn-lt"/>
              <a:ea typeface="+mn-ea"/>
              <a:cs typeface="+mn-cs"/>
            </a:defRPr>
          </a:lvl8pPr>
          <a:lvl9pPr marL="3657600" indent="0">
            <a:defRPr sz="1100">
              <a:latin typeface="+mn-lt"/>
              <a:ea typeface="+mn-ea"/>
              <a:cs typeface="+mn-cs"/>
            </a:defRPr>
          </a:lvl9pPr>
        </a:lstStyle>
        <a:p>
          <a:pPr algn="ctr"/>
          <a:r>
            <a:rPr lang="en-US" sz="1100">
              <a:solidFill>
                <a:schemeClr val="bg1"/>
              </a:solidFill>
            </a:rPr>
            <a:t>Dollar Purchase Frequency Over</a:t>
          </a:r>
          <a:r>
            <a:rPr lang="en-US" sz="1100" baseline="0">
              <a:solidFill>
                <a:schemeClr val="bg1"/>
              </a:solidFill>
            </a:rPr>
            <a:t> T</a:t>
          </a:r>
          <a:r>
            <a:rPr lang="en-US" sz="1100">
              <a:solidFill>
                <a:schemeClr val="bg1"/>
              </a:solidFill>
            </a:rPr>
            <a:t>ime</a:t>
          </a:r>
        </a:p>
      </xdr:txBody>
    </xdr:sp>
    <xdr:clientData/>
  </xdr:twoCellAnchor>
</xdr:wsDr>
</file>

<file path=xl/drawings/drawing5.xml><?xml version="1.0" encoding="utf-8"?>
<c:userShapes xmlns:c="http://schemas.openxmlformats.org/drawingml/2006/chart">
  <cdr:relSizeAnchor xmlns:cdr="http://schemas.openxmlformats.org/drawingml/2006/chartDrawing">
    <cdr:from>
      <cdr:x>0.34197</cdr:x>
      <cdr:y>0.03636</cdr:y>
    </cdr:from>
    <cdr:to>
      <cdr:x>0.96632</cdr:x>
      <cdr:y>0.13455</cdr:y>
    </cdr:to>
    <cdr:sp macro="" textlink="">
      <cdr:nvSpPr>
        <cdr:cNvPr id="2" name="TextBox 1">
          <a:extLst xmlns:a="http://schemas.openxmlformats.org/drawingml/2006/main">
            <a:ext uri="{FF2B5EF4-FFF2-40B4-BE49-F238E27FC236}">
              <a16:creationId xmlns:a16="http://schemas.microsoft.com/office/drawing/2014/main" id="{AC35E47B-7532-7890-0047-ABDCE96B839D}"/>
            </a:ext>
          </a:extLst>
        </cdr:cNvPr>
        <cdr:cNvSpPr txBox="1"/>
      </cdr:nvSpPr>
      <cdr:spPr>
        <a:xfrm xmlns:a="http://schemas.openxmlformats.org/drawingml/2006/main">
          <a:off x="1257301" y="95250"/>
          <a:ext cx="2295524" cy="257175"/>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a:p>
      </cdr:txBody>
    </cdr:sp>
  </cdr:relSizeAnchor>
</c:userShapes>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_rels/pivotCacheDefinition2.xml.rels><?xml version="1.0" encoding="UTF-8" standalone="yes"?>
<Relationships xmlns="http://schemas.openxmlformats.org/package/2006/relationships"><Relationship Id="rId1" Type="http://schemas.openxmlformats.org/officeDocument/2006/relationships/pivotCacheRecords" Target="pivotCacheRecords2.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11.437450115744" createdVersion="8" refreshedVersion="8" minRefreshableVersion="3" recordCount="4" xr:uid="{D52D5A8B-FA89-41C9-A11B-DFDBC8E8C3F8}">
  <cacheSource type="worksheet">
    <worksheetSource name="tblDollar"/>
  </cacheSource>
  <cacheFields count="13">
    <cacheField name="Dollar_Purchase_ID" numFmtId="0">
      <sharedItems/>
    </cacheField>
    <cacheField name="Purchase_Date" numFmtId="164">
      <sharedItems containsSemiMixedTypes="0" containsNonDate="0" containsDate="1" containsString="0" minDate="2023-01-24T00:00:00" maxDate="2026-01-31T00:00:00" count="7">
        <d v="2026-01-11T00:00:00"/>
        <d v="2026-01-24T00:00:00"/>
        <d v="2026-01-28T00:00:00"/>
        <d v="2026-01-30T00:00:00"/>
        <d v="2023-01-24T00:00:00" u="1"/>
        <d v="2023-01-28T00:00:00" u="1"/>
        <d v="2023-01-30T00:00:00" u="1"/>
      </sharedItems>
      <fieldGroup par="12"/>
    </cacheField>
    <cacheField name="Month" numFmtId="164">
      <sharedItems count="1">
        <s v="Jan"/>
      </sharedItems>
    </cacheField>
    <cacheField name="Exchange_Rate" numFmtId="0">
      <sharedItems containsSemiMixedTypes="0" containsString="0" containsNumber="1" containsInteger="1" minValue="1485" maxValue="1495"/>
    </cacheField>
    <cacheField name="Naira_Amount" numFmtId="0">
      <sharedItems containsSemiMixedTypes="0" containsString="0" containsNumber="1" containsInteger="1" minValue="3000" maxValue="7000"/>
    </cacheField>
    <cacheField name="Available_Naira" numFmtId="1">
      <sharedItems containsSemiMixedTypes="0" containsString="0" containsNumber="1" containsInteger="1" minValue="3000" maxValue="7000"/>
    </cacheField>
    <cacheField name="USD_Amount" numFmtId="2">
      <sharedItems containsSemiMixedTypes="0" containsString="0" containsNumber="1" minValue="2" maxValue="4.71"/>
    </cacheField>
    <cacheField name="Naira_Used" numFmtId="0">
      <sharedItems containsSemiMixedTypes="0" containsString="0" containsNumber="1" minValue="2990" maxValue="6996.5999999999995"/>
    </cacheField>
    <cacheField name="Naira_Rollover" numFmtId="0">
      <sharedItems containsSemiMixedTypes="0" containsString="0" containsNumber="1" minValue="3.4000000000005457" maxValue="10"/>
    </cacheField>
    <cacheField name="Cummulative_Rollover" numFmtId="0">
      <sharedItems containsSemiMixedTypes="0" containsString="0" containsNumber="1" minValue="5.6499999999996362" maxValue="25.75"/>
    </cacheField>
    <cacheField name="Contributors" numFmtId="0">
      <sharedItems/>
    </cacheField>
    <cacheField name="Notes" numFmtId="0">
      <sharedItems/>
    </cacheField>
    <cacheField name="Months (Purchase_Date)" numFmtId="0" databaseField="0">
      <fieldGroup base="1">
        <rangePr groupBy="months" startDate="2026-01-11T00:00:00" endDate="2026-01-31T00:00:00"/>
        <groupItems count="14">
          <s v="&lt;1/11/2026"/>
          <s v="Jan"/>
          <s v="Feb"/>
          <s v="Mar"/>
          <s v="Apr"/>
          <s v="May"/>
          <s v="Jun"/>
          <s v="Jul"/>
          <s v="Aug"/>
          <s v="Sep"/>
          <s v="Oct"/>
          <s v="Nov"/>
          <s v="Dec"/>
          <s v="&gt;1/31/2026"/>
        </groupItems>
      </fieldGroup>
    </cacheField>
  </cacheFields>
  <extLst>
    <ext xmlns:x14="http://schemas.microsoft.com/office/spreadsheetml/2009/9/main" uri="{725AE2AE-9491-48be-B2B4-4EB974FC3084}">
      <x14:pivotCacheDefinition pivotCacheId="1691022768"/>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hp" refreshedDate="46111.457511805558" createdVersion="8" refreshedVersion="8" minRefreshableVersion="3" recordCount="8" xr:uid="{2EBFD47F-11BB-46A8-8465-38643CFDFE82}">
  <cacheSource type="worksheet">
    <worksheetSource name="TblSavings"/>
  </cacheSource>
  <cacheFields count="16">
    <cacheField name="Transaction_ID" numFmtId="0">
      <sharedItems/>
    </cacheField>
    <cacheField name="Date" numFmtId="164">
      <sharedItems containsSemiMixedTypes="0" containsNonDate="0" containsDate="1" containsString="0" minDate="2026-01-10T00:00:00" maxDate="2026-03-31T00:00:00"/>
    </cacheField>
    <cacheField name="Week_Number" numFmtId="0">
      <sharedItems containsSemiMixedTypes="0" containsString="0" containsNumber="1" containsInteger="1" minValue="2" maxValue="20" count="9">
        <n v="2"/>
        <n v="3"/>
        <n v="4"/>
        <n v="5"/>
        <n v="14"/>
        <n v="13" u="1"/>
        <n v="7" u="1"/>
        <n v="20" u="1"/>
        <n v="6" u="1"/>
      </sharedItems>
    </cacheField>
    <cacheField name="Month" numFmtId="0">
      <sharedItems count="2">
        <s v="Jan"/>
        <s v="Mar"/>
      </sharedItems>
    </cacheField>
    <cacheField name="Saver_Name" numFmtId="0">
      <sharedItems count="5">
        <s v="Cecilia"/>
        <s v="Cyril"/>
        <s v="Hilda"/>
        <s v="Bibiana"/>
        <s v="Paschal" u="1"/>
      </sharedItems>
    </cacheField>
    <cacheField name="Amount_Paid_NGN" numFmtId="1">
      <sharedItems containsSemiMixedTypes="0" containsString="0" containsNumber="1" containsInteger="1" minValue="1000" maxValue="5000"/>
    </cacheField>
    <cacheField name="Equivalent_Weeks_Paid" numFmtId="1">
      <sharedItems containsSemiMixedTypes="0" containsString="0" containsNumber="1" containsInteger="1" minValue="1" maxValue="5"/>
    </cacheField>
    <cacheField name="Actual_Weeks_Paid" numFmtId="1">
      <sharedItems containsSemiMixedTypes="0" containsString="0" containsNumber="1" containsInteger="1" minValue="2" maxValue="9"/>
    </cacheField>
    <cacheField name="Equivalent_Weeks_To_Date" numFmtId="1">
      <sharedItems containsSemiMixedTypes="0" containsString="0" containsNumber="1" containsInteger="1" minValue="2" maxValue="14"/>
    </cacheField>
    <cacheField name="Weeks_Variance" numFmtId="1">
      <sharedItems containsSemiMixedTypes="0" containsString="0" containsNumber="1" containsInteger="1" minValue="-5" maxValue="3"/>
    </cacheField>
    <cacheField name="Missed_Weeks" numFmtId="1">
      <sharedItems containsSemiMixedTypes="0" containsString="0" containsNumber="1" containsInteger="1" minValue="0" maxValue="5"/>
    </cacheField>
    <cacheField name="Status" numFmtId="1">
      <sharedItems count="3">
        <s v="Ahead"/>
        <s v="On Track"/>
        <s v="Behind"/>
      </sharedItems>
    </cacheField>
    <cacheField name="Payment_Type" numFmtId="0">
      <sharedItems count="3">
        <s v="Bulk"/>
        <s v="Catch-up"/>
        <s v="Weekly"/>
      </sharedItems>
    </cacheField>
    <cacheField name="Received_By" numFmtId="0">
      <sharedItems/>
    </cacheField>
    <cacheField name="Notes" numFmtId="0">
      <sharedItems containsBlank="1"/>
    </cacheField>
    <cacheField name="Dollar_Purchase_ID" numFmtId="0">
      <sharedItems containsBlank="1"/>
    </cacheField>
  </cacheFields>
  <extLst>
    <ext xmlns:x14="http://schemas.microsoft.com/office/spreadsheetml/2009/9/main" uri="{725AE2AE-9491-48be-B2B4-4EB974FC3084}">
      <x14:pivotCacheDefinition pivotCacheId="1834272313"/>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
  <r>
    <s v="D001"/>
    <x v="0"/>
    <x v="0"/>
    <n v="1485"/>
    <n v="7000"/>
    <n v="7000"/>
    <n v="4.71"/>
    <n v="6994.35"/>
    <n v="5.6499999999996362"/>
    <n v="5.6499999999996362"/>
    <s v="Cecilia,Cyril"/>
    <s v="Week 2 savings purchase"/>
  </r>
  <r>
    <s v="D002"/>
    <x v="1"/>
    <x v="0"/>
    <n v="1495"/>
    <n v="3000"/>
    <n v="3000"/>
    <n v="2"/>
    <n v="2990"/>
    <n v="10"/>
    <n v="15.649999999999636"/>
    <s v="Cyril"/>
    <s v="Week 5 savings purchase"/>
  </r>
  <r>
    <s v="D003"/>
    <x v="2"/>
    <x v="0"/>
    <n v="1495"/>
    <n v="5000"/>
    <n v="5000"/>
    <n v="3.34"/>
    <n v="4993.3"/>
    <n v="6.6999999999998181"/>
    <n v="22.349999999999454"/>
    <s v="Hilda"/>
    <s v="Week 5 savings purchase"/>
  </r>
  <r>
    <s v="D004"/>
    <x v="3"/>
    <x v="0"/>
    <n v="1495"/>
    <n v="7000"/>
    <n v="7000"/>
    <n v="4.68"/>
    <n v="6996.5999999999995"/>
    <n v="3.4000000000005457"/>
    <n v="25.75"/>
    <s v="Bibiana,Cyril"/>
    <s v="Week 6 savings purchase"/>
  </r>
</pivotCacheRecords>
</file>

<file path=xl/pivotCache/pivotCacheRecords2.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8">
  <r>
    <s v="T001"/>
    <d v="2026-01-10T00:00:00"/>
    <x v="0"/>
    <x v="0"/>
    <x v="0"/>
    <n v="5000"/>
    <n v="5"/>
    <n v="5"/>
    <n v="2"/>
    <n v="3"/>
    <n v="0"/>
    <x v="0"/>
    <x v="0"/>
    <s v="Cyril"/>
    <s v="Januaray bulk payment"/>
    <s v="D001"/>
  </r>
  <r>
    <s v="T002"/>
    <d v="2026-01-10T00:00:00"/>
    <x v="0"/>
    <x v="0"/>
    <x v="1"/>
    <n v="2000"/>
    <n v="2"/>
    <n v="2"/>
    <n v="2"/>
    <n v="0"/>
    <n v="0"/>
    <x v="1"/>
    <x v="1"/>
    <s v="Cyril"/>
    <s v="Missed week 1"/>
    <s v="D001"/>
  </r>
  <r>
    <s v="T003"/>
    <d v="2026-01-13T00:00:00"/>
    <x v="1"/>
    <x v="0"/>
    <x v="1"/>
    <n v="2000"/>
    <n v="2"/>
    <n v="4"/>
    <n v="3"/>
    <n v="1"/>
    <n v="0"/>
    <x v="0"/>
    <x v="1"/>
    <s v="Cyril"/>
    <s v="Paying ahead"/>
    <s v="D002"/>
  </r>
  <r>
    <s v="T004"/>
    <d v="2026-01-24T00:00:00"/>
    <x v="2"/>
    <x v="0"/>
    <x v="1"/>
    <n v="1000"/>
    <n v="1"/>
    <n v="5"/>
    <n v="4"/>
    <n v="1"/>
    <n v="0"/>
    <x v="0"/>
    <x v="2"/>
    <s v="Cyril"/>
    <s v="Complete Januray Savings"/>
    <s v="D002"/>
  </r>
  <r>
    <s v="T005"/>
    <d v="2026-01-28T00:00:00"/>
    <x v="3"/>
    <x v="0"/>
    <x v="2"/>
    <n v="5000"/>
    <n v="5"/>
    <n v="5"/>
    <n v="5"/>
    <n v="0"/>
    <n v="0"/>
    <x v="1"/>
    <x v="0"/>
    <s v="Cyril"/>
    <m/>
    <s v="D003"/>
  </r>
  <r>
    <s v="T006"/>
    <d v="2026-01-30T00:00:00"/>
    <x v="3"/>
    <x v="0"/>
    <x v="3"/>
    <n v="5000"/>
    <n v="5"/>
    <n v="5"/>
    <n v="5"/>
    <n v="0"/>
    <n v="0"/>
    <x v="1"/>
    <x v="0"/>
    <s v="Cyril"/>
    <s v="Family"/>
    <s v="D004"/>
  </r>
  <r>
    <s v="T007"/>
    <d v="2026-01-30T00:00:00"/>
    <x v="3"/>
    <x v="0"/>
    <x v="1"/>
    <n v="2000"/>
    <n v="2"/>
    <n v="7"/>
    <n v="5"/>
    <n v="2"/>
    <n v="0"/>
    <x v="0"/>
    <x v="1"/>
    <s v="Cyril"/>
    <s v="Feb Savings"/>
    <s v="D004"/>
  </r>
  <r>
    <s v="T008"/>
    <d v="2026-03-30T00:00:00"/>
    <x v="4"/>
    <x v="1"/>
    <x v="2"/>
    <n v="4000"/>
    <n v="4"/>
    <n v="9"/>
    <n v="14"/>
    <n v="-5"/>
    <n v="5"/>
    <x v="2"/>
    <x v="0"/>
    <s v="Cyril"/>
    <s v="Savings"/>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8.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9.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0.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1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36274DC8-F011-4540-A1E4-6F11B1090215}"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9">
  <location ref="A3:G9" firstHeaderRow="1" firstDataRow="2" firstDataCol="1" rowPageCount="1" colPageCount="1"/>
  <pivotFields count="16">
    <pivotField showAll="0"/>
    <pivotField numFmtId="164" showAll="0"/>
    <pivotField axis="axisCol" showAll="0">
      <items count="10">
        <item x="0"/>
        <item x="1"/>
        <item x="3"/>
        <item m="1" x="8"/>
        <item x="2"/>
        <item m="1" x="6"/>
        <item m="1" x="7"/>
        <item m="1" x="5"/>
        <item x="4"/>
        <item t="default"/>
      </items>
    </pivotField>
    <pivotField showAll="0">
      <items count="3">
        <item x="0"/>
        <item x="1"/>
        <item t="default"/>
      </items>
    </pivotField>
    <pivotField axis="axisRow" showAll="0">
      <items count="6">
        <item x="3"/>
        <item x="0"/>
        <item x="1"/>
        <item x="2"/>
        <item m="1" x="4"/>
        <item t="default"/>
      </items>
    </pivotField>
    <pivotField numFmtId="1" showAll="0"/>
    <pivotField dataField="1" numFmtId="1" showAll="0"/>
    <pivotField numFmtId="1" showAll="0"/>
    <pivotField numFmtId="1" showAll="0"/>
    <pivotField numFmtId="1" showAll="0"/>
    <pivotField numFmtId="1" showAll="0"/>
    <pivotField axis="axisPage" showAll="0">
      <items count="4">
        <item x="0"/>
        <item x="2"/>
        <item x="1"/>
        <item t="default"/>
      </items>
    </pivotField>
    <pivotField showAll="0">
      <items count="4">
        <item x="0"/>
        <item x="1"/>
        <item x="2"/>
        <item t="default"/>
      </items>
    </pivotField>
    <pivotField showAll="0"/>
    <pivotField showAll="0"/>
    <pivotField showAll="0"/>
  </pivotFields>
  <rowFields count="1">
    <field x="4"/>
  </rowFields>
  <rowItems count="5">
    <i>
      <x/>
    </i>
    <i>
      <x v="1"/>
    </i>
    <i>
      <x v="2"/>
    </i>
    <i>
      <x v="3"/>
    </i>
    <i t="grand">
      <x/>
    </i>
  </rowItems>
  <colFields count="1">
    <field x="2"/>
  </colFields>
  <colItems count="6">
    <i>
      <x/>
    </i>
    <i>
      <x v="1"/>
    </i>
    <i>
      <x v="2"/>
    </i>
    <i>
      <x v="4"/>
    </i>
    <i>
      <x v="8"/>
    </i>
    <i t="grand">
      <x/>
    </i>
  </colItems>
  <pageFields count="1">
    <pageField fld="11" hier="-1"/>
  </pageFields>
  <dataFields count="1">
    <dataField name="Sum of Equivalent_Weeks_Paid" fld="6" baseField="0" baseItem="0"/>
  </dataFields>
  <chartFormats count="9">
    <chartFormat chart="6" format="58" series="1">
      <pivotArea type="data" outline="0" fieldPosition="0">
        <references count="2">
          <reference field="4294967294" count="1" selected="0">
            <x v="0"/>
          </reference>
          <reference field="2" count="1" selected="0">
            <x v="0"/>
          </reference>
        </references>
      </pivotArea>
    </chartFormat>
    <chartFormat chart="6" format="59" series="1">
      <pivotArea type="data" outline="0" fieldPosition="0">
        <references count="2">
          <reference field="4294967294" count="1" selected="0">
            <x v="0"/>
          </reference>
          <reference field="2" count="1" selected="0">
            <x v="1"/>
          </reference>
        </references>
      </pivotArea>
    </chartFormat>
    <chartFormat chart="6" format="60" series="1">
      <pivotArea type="data" outline="0" fieldPosition="0">
        <references count="2">
          <reference field="4294967294" count="1" selected="0">
            <x v="0"/>
          </reference>
          <reference field="2" count="1" selected="0">
            <x v="2"/>
          </reference>
        </references>
      </pivotArea>
    </chartFormat>
    <chartFormat chart="6" format="61" series="1">
      <pivotArea type="data" outline="0" fieldPosition="0">
        <references count="2">
          <reference field="4294967294" count="1" selected="0">
            <x v="0"/>
          </reference>
          <reference field="2" count="1" selected="0">
            <x v="3"/>
          </reference>
        </references>
      </pivotArea>
    </chartFormat>
    <chartFormat chart="6" format="62" series="1">
      <pivotArea type="data" outline="0" fieldPosition="0">
        <references count="2">
          <reference field="4294967294" count="1" selected="0">
            <x v="0"/>
          </reference>
          <reference field="2" count="1" selected="0">
            <x v="5"/>
          </reference>
        </references>
      </pivotArea>
    </chartFormat>
    <chartFormat chart="6" format="63" series="1">
      <pivotArea type="data" outline="0" fieldPosition="0">
        <references count="2">
          <reference field="4294967294" count="1" selected="0">
            <x v="0"/>
          </reference>
          <reference field="2" count="1" selected="0">
            <x v="4"/>
          </reference>
        </references>
      </pivotArea>
    </chartFormat>
    <chartFormat chart="6" format="64" series="1">
      <pivotArea type="data" outline="0" fieldPosition="0">
        <references count="2">
          <reference field="4294967294" count="1" selected="0">
            <x v="0"/>
          </reference>
          <reference field="2" count="1" selected="0">
            <x v="6"/>
          </reference>
        </references>
      </pivotArea>
    </chartFormat>
    <chartFormat chart="6" format="65" series="1">
      <pivotArea type="data" outline="0" fieldPosition="0">
        <references count="2">
          <reference field="4294967294" count="1" selected="0">
            <x v="0"/>
          </reference>
          <reference field="2" count="1" selected="0">
            <x v="7"/>
          </reference>
        </references>
      </pivotArea>
    </chartFormat>
    <chartFormat chart="6" format="66" series="1">
      <pivotArea type="data" outline="0" fieldPosition="0">
        <references count="2">
          <reference field="4294967294" count="1" selected="0">
            <x v="0"/>
          </reference>
          <reference field="2" count="1" selected="0">
            <x v="8"/>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DA954ADA-7C53-4BEE-B35D-02052D589F43}"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A3:C9" firstHeaderRow="0" firstDataRow="1" firstDataCol="1"/>
  <pivotFields count="16">
    <pivotField showAll="0"/>
    <pivotField numFmtId="164" showAll="0"/>
    <pivotField axis="axisRow" showAll="0" sortType="descending">
      <items count="10">
        <item m="1" x="7"/>
        <item x="4"/>
        <item m="1" x="5"/>
        <item m="1" x="6"/>
        <item m="1" x="8"/>
        <item x="3"/>
        <item x="2"/>
        <item x="1"/>
        <item x="0"/>
        <item t="default"/>
      </items>
    </pivotField>
    <pivotField showAll="0">
      <items count="3">
        <item x="0"/>
        <item x="1"/>
        <item t="default"/>
      </items>
    </pivotField>
    <pivotField dataField="1" showAll="0">
      <items count="6">
        <item x="3"/>
        <item x="0"/>
        <item x="1"/>
        <item x="2"/>
        <item m="1" x="4"/>
        <item t="default"/>
      </items>
    </pivotField>
    <pivotField numFmtId="1" showAll="0"/>
    <pivotField dataField="1" numFmtId="1" showAll="0"/>
    <pivotField numFmtId="1" showAll="0"/>
    <pivotField numFmtId="1" showAll="0"/>
    <pivotField numFmtId="1" showAll="0"/>
    <pivotField numFmtId="1" showAll="0"/>
    <pivotField showAll="0"/>
    <pivotField showAll="0">
      <items count="4">
        <item x="0"/>
        <item x="1"/>
        <item x="2"/>
        <item t="default"/>
      </items>
    </pivotField>
    <pivotField showAll="0"/>
    <pivotField showAll="0"/>
    <pivotField showAll="0"/>
  </pivotFields>
  <rowFields count="1">
    <field x="2"/>
  </rowFields>
  <rowItems count="6">
    <i>
      <x v="1"/>
    </i>
    <i>
      <x v="5"/>
    </i>
    <i>
      <x v="6"/>
    </i>
    <i>
      <x v="7"/>
    </i>
    <i>
      <x v="8"/>
    </i>
    <i t="grand">
      <x/>
    </i>
  </rowItems>
  <colFields count="1">
    <field x="-2"/>
  </colFields>
  <colItems count="2">
    <i>
      <x/>
    </i>
    <i i="1">
      <x v="1"/>
    </i>
  </colItems>
  <dataFields count="2">
    <dataField name="Number of Savers Paid" fld="4" subtotal="count" baseField="2" baseItem="0"/>
    <dataField name="Sum of Equivalent_Weeks_Paid" fld="6" baseField="0" baseItem="0"/>
  </dataFields>
  <chartFormats count="4">
    <chartFormat chart="6" format="2" series="1">
      <pivotArea type="data" outline="0" fieldPosition="0">
        <references count="1">
          <reference field="4294967294" count="1" selected="0">
            <x v="0"/>
          </reference>
        </references>
      </pivotArea>
    </chartFormat>
    <chartFormat chart="6" format="3" series="1">
      <pivotArea type="data" outline="0" fieldPosition="0">
        <references count="1">
          <reference field="4294967294" count="1" selected="0">
            <x v="1"/>
          </reference>
        </references>
      </pivotArea>
    </chartFormat>
    <chartFormat chart="12" format="8" series="1">
      <pivotArea type="data" outline="0" fieldPosition="0">
        <references count="1">
          <reference field="4294967294" count="1" selected="0">
            <x v="0"/>
          </reference>
        </references>
      </pivotArea>
    </chartFormat>
    <chartFormat chart="12" format="9"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E5CCE906-058D-4F91-8826-F98596CFA2E1}"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9">
  <location ref="A3:B8" firstHeaderRow="1" firstDataRow="1" firstDataCol="1" rowPageCount="1" colPageCount="1"/>
  <pivotFields count="16">
    <pivotField showAll="0"/>
    <pivotField numFmtId="164" showAll="0"/>
    <pivotField showAll="0"/>
    <pivotField showAll="0">
      <items count="3">
        <item x="0"/>
        <item x="1"/>
        <item t="default"/>
      </items>
    </pivotField>
    <pivotField axis="axisRow" showAll="0">
      <items count="6">
        <item x="3"/>
        <item x="0"/>
        <item x="1"/>
        <item x="2"/>
        <item m="1" x="4"/>
        <item t="default"/>
      </items>
    </pivotField>
    <pivotField numFmtId="1" showAll="0"/>
    <pivotField numFmtId="1" showAll="0"/>
    <pivotField numFmtId="1" showAll="0"/>
    <pivotField numFmtId="1" showAll="0"/>
    <pivotField numFmtId="1" showAll="0"/>
    <pivotField dataField="1" numFmtId="1" showAll="0"/>
    <pivotField axis="axisPage" showAll="0">
      <items count="4">
        <item x="0"/>
        <item x="2"/>
        <item x="1"/>
        <item t="default"/>
      </items>
    </pivotField>
    <pivotField showAll="0">
      <items count="4">
        <item x="0"/>
        <item x="1"/>
        <item x="2"/>
        <item t="default"/>
      </items>
    </pivotField>
    <pivotField showAll="0"/>
    <pivotField showAll="0"/>
    <pivotField showAll="0"/>
  </pivotFields>
  <rowFields count="1">
    <field x="4"/>
  </rowFields>
  <rowItems count="5">
    <i>
      <x/>
    </i>
    <i>
      <x v="1"/>
    </i>
    <i>
      <x v="2"/>
    </i>
    <i>
      <x v="3"/>
    </i>
    <i t="grand">
      <x/>
    </i>
  </rowItems>
  <colItems count="1">
    <i/>
  </colItems>
  <pageFields count="1">
    <pageField fld="11" hier="-1"/>
  </pageFields>
  <dataFields count="1">
    <dataField name="Max Missed Weeks" fld="10" subtotal="max" baseField="4" baseItem="0"/>
  </dataFields>
  <chartFormats count="1">
    <chartFormat chart="18"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25D57F5B-7840-4314-91C2-289A3B98D788}" name="PivotTable4"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2">
  <location ref="A3:I10" firstHeaderRow="1" firstDataRow="3" firstDataCol="1"/>
  <pivotFields count="16">
    <pivotField dataField="1" showAll="0"/>
    <pivotField numFmtId="164" showAll="0"/>
    <pivotField showAll="0"/>
    <pivotField showAll="0">
      <items count="3">
        <item x="0"/>
        <item x="1"/>
        <item t="default"/>
      </items>
    </pivotField>
    <pivotField axis="axisRow" showAll="0">
      <items count="6">
        <item x="3"/>
        <item x="0"/>
        <item x="1"/>
        <item x="2"/>
        <item m="1" x="4"/>
        <item t="default"/>
      </items>
    </pivotField>
    <pivotField dataField="1" numFmtId="1" showAll="0"/>
    <pivotField numFmtId="1" showAll="0"/>
    <pivotField numFmtId="1" showAll="0"/>
    <pivotField numFmtId="1" showAll="0"/>
    <pivotField numFmtId="1" showAll="0"/>
    <pivotField numFmtId="1" showAll="0"/>
    <pivotField showAll="0"/>
    <pivotField axis="axisCol" showAll="0">
      <items count="4">
        <item x="0"/>
        <item x="1"/>
        <item x="2"/>
        <item t="default"/>
      </items>
    </pivotField>
    <pivotField showAll="0"/>
    <pivotField showAll="0"/>
    <pivotField showAll="0"/>
  </pivotFields>
  <rowFields count="1">
    <field x="4"/>
  </rowFields>
  <rowItems count="5">
    <i>
      <x/>
    </i>
    <i>
      <x v="1"/>
    </i>
    <i>
      <x v="2"/>
    </i>
    <i>
      <x v="3"/>
    </i>
    <i t="grand">
      <x/>
    </i>
  </rowItems>
  <colFields count="2">
    <field x="12"/>
    <field x="-2"/>
  </colFields>
  <colItems count="8">
    <i>
      <x/>
      <x/>
    </i>
    <i r="1" i="1">
      <x v="1"/>
    </i>
    <i>
      <x v="1"/>
      <x/>
    </i>
    <i r="1" i="1">
      <x v="1"/>
    </i>
    <i>
      <x v="2"/>
      <x/>
    </i>
    <i r="1" i="1">
      <x v="1"/>
    </i>
    <i t="grand">
      <x/>
    </i>
    <i t="grand" i="1">
      <x/>
    </i>
  </colItems>
  <dataFields count="2">
    <dataField name="Number of Payments" fld="0" subtotal="count" baseField="0" baseItem="0"/>
    <dataField name="Sum of Amount_Paid_NGN" fld="5" baseField="0" baseItem="0"/>
  </dataFields>
  <chartFormats count="6">
    <chartFormat chart="11" format="38" series="1">
      <pivotArea type="data" outline="0" fieldPosition="0">
        <references count="2">
          <reference field="4294967294" count="1" selected="0">
            <x v="0"/>
          </reference>
          <reference field="12" count="1" selected="0">
            <x v="0"/>
          </reference>
        </references>
      </pivotArea>
    </chartFormat>
    <chartFormat chart="11" format="39" series="1">
      <pivotArea type="data" outline="0" fieldPosition="0">
        <references count="2">
          <reference field="4294967294" count="1" selected="0">
            <x v="1"/>
          </reference>
          <reference field="12" count="1" selected="0">
            <x v="0"/>
          </reference>
        </references>
      </pivotArea>
    </chartFormat>
    <chartFormat chart="11" format="40" series="1">
      <pivotArea type="data" outline="0" fieldPosition="0">
        <references count="2">
          <reference field="4294967294" count="1" selected="0">
            <x v="0"/>
          </reference>
          <reference field="12" count="1" selected="0">
            <x v="1"/>
          </reference>
        </references>
      </pivotArea>
    </chartFormat>
    <chartFormat chart="11" format="41" series="1">
      <pivotArea type="data" outline="0" fieldPosition="0">
        <references count="2">
          <reference field="4294967294" count="1" selected="0">
            <x v="1"/>
          </reference>
          <reference field="12" count="1" selected="0">
            <x v="1"/>
          </reference>
        </references>
      </pivotArea>
    </chartFormat>
    <chartFormat chart="11" format="42" series="1">
      <pivotArea type="data" outline="0" fieldPosition="0">
        <references count="2">
          <reference field="4294967294" count="1" selected="0">
            <x v="0"/>
          </reference>
          <reference field="12" count="1" selected="0">
            <x v="2"/>
          </reference>
        </references>
      </pivotArea>
    </chartFormat>
    <chartFormat chart="11" format="43" series="1">
      <pivotArea type="data" outline="0" fieldPosition="0">
        <references count="2">
          <reference field="4294967294" count="1" selected="0">
            <x v="1"/>
          </reference>
          <reference field="12"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BAA4DE20-995A-4614-8DC2-F99BAEBAE2F3}" name="PivotTable1"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9" firstHeaderRow="1" firstDataRow="1" firstDataCol="1"/>
  <pivotFields count="16">
    <pivotField showAll="0"/>
    <pivotField numFmtId="164" showAll="0"/>
    <pivotField axis="axisRow" showAll="0" sortType="ascending">
      <items count="10">
        <item x="0"/>
        <item x="1"/>
        <item x="2"/>
        <item x="3"/>
        <item m="1" x="8"/>
        <item m="1" x="6"/>
        <item m="1" x="5"/>
        <item x="4"/>
        <item m="1" x="7"/>
        <item t="default"/>
      </items>
    </pivotField>
    <pivotField showAll="0">
      <items count="3">
        <item x="0"/>
        <item x="1"/>
        <item t="default"/>
      </items>
    </pivotField>
    <pivotField showAll="0">
      <items count="6">
        <item x="3"/>
        <item x="0"/>
        <item x="1"/>
        <item x="2"/>
        <item m="1" x="4"/>
        <item t="default"/>
      </items>
    </pivotField>
    <pivotField dataField="1" numFmtId="1" showAll="0"/>
    <pivotField numFmtId="1" showAll="0"/>
    <pivotField numFmtId="1" showAll="0"/>
    <pivotField numFmtId="1" showAll="0"/>
    <pivotField numFmtId="1" showAll="0"/>
    <pivotField numFmtId="1" showAll="0"/>
    <pivotField showAll="0"/>
    <pivotField showAll="0">
      <items count="4">
        <item x="0"/>
        <item x="1"/>
        <item x="2"/>
        <item t="default"/>
      </items>
    </pivotField>
    <pivotField showAll="0"/>
    <pivotField showAll="0"/>
    <pivotField showAll="0"/>
  </pivotFields>
  <rowFields count="1">
    <field x="2"/>
  </rowFields>
  <rowItems count="6">
    <i>
      <x/>
    </i>
    <i>
      <x v="1"/>
    </i>
    <i>
      <x v="2"/>
    </i>
    <i>
      <x v="3"/>
    </i>
    <i>
      <x v="7"/>
    </i>
    <i t="grand">
      <x/>
    </i>
  </rowItems>
  <colItems count="1">
    <i/>
  </colItems>
  <dataFields count="1">
    <dataField name="Sum of Amount_Paid_NGN" fld="5" baseField="0" baseItem="0"/>
  </dataFields>
  <chartFormats count="1">
    <chartFormat chart="10"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6DB212D2-F5A0-4FDF-BA5B-50EF56247797}" name="PivotTable3"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15:A16" firstHeaderRow="1" firstDataRow="1" firstDataCol="0"/>
  <pivotFields count="16">
    <pivotField showAll="0"/>
    <pivotField numFmtId="164" showAll="0"/>
    <pivotField showAll="0" sortType="ascending"/>
    <pivotField showAll="0">
      <items count="3">
        <item x="0"/>
        <item x="1"/>
        <item t="default"/>
      </items>
    </pivotField>
    <pivotField showAll="0">
      <items count="6">
        <item x="3"/>
        <item x="0"/>
        <item x="1"/>
        <item x="2"/>
        <item m="1" x="4"/>
        <item t="default"/>
      </items>
    </pivotField>
    <pivotField dataField="1" numFmtId="1" showAll="0"/>
    <pivotField numFmtId="1" showAll="0"/>
    <pivotField numFmtId="1" showAll="0"/>
    <pivotField numFmtId="1" showAll="0"/>
    <pivotField numFmtId="1" showAll="0"/>
    <pivotField numFmtId="1" showAll="0"/>
    <pivotField showAll="0"/>
    <pivotField showAll="0">
      <items count="4">
        <item x="0"/>
        <item x="1"/>
        <item x="2"/>
        <item t="default"/>
      </items>
    </pivotField>
    <pivotField showAll="0"/>
    <pivotField showAll="0"/>
    <pivotField showAll="0"/>
  </pivotFields>
  <rowItems count="1">
    <i/>
  </rowItems>
  <colItems count="1">
    <i/>
  </colItems>
  <dataFields count="1">
    <dataField name="Sum of Amount_Paid_NGN" fld="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3B2AD2B1-8454-471C-BC04-F6946D9E3C5C}" name="PivotTable2" cacheId="1"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8">
  <location ref="A3:C9" firstHeaderRow="0" firstDataRow="1" firstDataCol="1"/>
  <pivotFields count="16">
    <pivotField showAll="0"/>
    <pivotField numFmtId="164" showAll="0"/>
    <pivotField axis="axisRow" showAll="0" sortType="ascending">
      <items count="10">
        <item x="0"/>
        <item x="1"/>
        <item x="2"/>
        <item x="3"/>
        <item m="1" x="8"/>
        <item m="1" x="6"/>
        <item m="1" x="5"/>
        <item x="4"/>
        <item m="1" x="7"/>
        <item t="default"/>
      </items>
    </pivotField>
    <pivotField showAll="0">
      <items count="3">
        <item x="0"/>
        <item x="1"/>
        <item t="default"/>
      </items>
    </pivotField>
    <pivotField showAll="0">
      <items count="6">
        <item x="3"/>
        <item x="0"/>
        <item x="1"/>
        <item x="2"/>
        <item m="1" x="4"/>
        <item t="default"/>
      </items>
    </pivotField>
    <pivotField numFmtId="1" showAll="0"/>
    <pivotField dataField="1" numFmtId="1" showAll="0"/>
    <pivotField numFmtId="1" showAll="0"/>
    <pivotField dataField="1" numFmtId="1" showAll="0"/>
    <pivotField numFmtId="1" showAll="0"/>
    <pivotField numFmtId="1" showAll="0"/>
    <pivotField showAll="0"/>
    <pivotField showAll="0">
      <items count="4">
        <item x="0"/>
        <item x="1"/>
        <item x="2"/>
        <item t="default"/>
      </items>
    </pivotField>
    <pivotField showAll="0"/>
    <pivotField showAll="0"/>
    <pivotField showAll="0"/>
  </pivotFields>
  <rowFields count="1">
    <field x="2"/>
  </rowFields>
  <rowItems count="6">
    <i>
      <x/>
    </i>
    <i>
      <x v="1"/>
    </i>
    <i>
      <x v="2"/>
    </i>
    <i>
      <x v="3"/>
    </i>
    <i>
      <x v="7"/>
    </i>
    <i t="grand">
      <x/>
    </i>
  </rowItems>
  <colFields count="1">
    <field x="-2"/>
  </colFields>
  <colItems count="2">
    <i>
      <x/>
    </i>
    <i i="1">
      <x v="1"/>
    </i>
  </colItems>
  <dataFields count="2">
    <dataField name="Actual Equivalent Weeks" fld="6" baseField="2" baseItem="1"/>
    <dataField name="Equivalent Weeks To Date" fld="8" subtotal="max" baseField="2" baseItem="1"/>
  </dataFields>
  <chartFormats count="3">
    <chartFormat chart="17" format="16" series="1">
      <pivotArea type="data" outline="0" fieldPosition="0">
        <references count="1">
          <reference field="4294967294" count="1" selected="0">
            <x v="0"/>
          </reference>
        </references>
      </pivotArea>
    </chartFormat>
    <chartFormat chart="17" format="17" series="1">
      <pivotArea type="data" outline="0" fieldPosition="0">
        <references count="1">
          <reference field="4294967294" count="1" selected="0">
            <x v="1"/>
          </reference>
        </references>
      </pivotArea>
    </chartFormat>
    <chartFormat chart="17" format="18">
      <pivotArea type="data" outline="0" fieldPosition="0">
        <references count="2">
          <reference field="4294967294" count="1" selected="0">
            <x v="1"/>
          </reference>
          <reference field="2"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8.xml><?xml version="1.0" encoding="utf-8"?>
<pivotTableDefinition xmlns="http://schemas.openxmlformats.org/spreadsheetml/2006/main" xmlns:mc="http://schemas.openxmlformats.org/markup-compatibility/2006" xmlns:xr="http://schemas.microsoft.com/office/spreadsheetml/2014/revision" mc:Ignorable="xr" xr:uid="{601AA87C-6B8D-45E3-93CB-339C3C75E552}" name="PivotTable3"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A4" firstHeaderRow="1" firstDataRow="1" firstDataCol="0"/>
  <pivotFields count="13">
    <pivotField showAll="0"/>
    <pivotField numFmtId="164" showAll="0">
      <items count="8">
        <item m="1" x="4"/>
        <item m="1" x="5"/>
        <item m="1" x="6"/>
        <item x="0"/>
        <item x="1"/>
        <item x="2"/>
        <item x="3"/>
        <item t="default"/>
      </items>
    </pivotField>
    <pivotField showAll="0">
      <items count="2">
        <item x="0"/>
        <item t="default"/>
      </items>
    </pivotField>
    <pivotField showAll="0"/>
    <pivotField showAll="0"/>
    <pivotField numFmtId="1" showAll="0"/>
    <pivotField dataField="1" numFmtId="2"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s>
  <rowItems count="1">
    <i/>
  </rowItems>
  <colItems count="1">
    <i/>
  </colItems>
  <dataFields count="1">
    <dataField name="Sum of USD_Amount" fld="6"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9.xml><?xml version="1.0" encoding="utf-8"?>
<pivotTableDefinition xmlns="http://schemas.openxmlformats.org/spreadsheetml/2006/main" xmlns:mc="http://schemas.openxmlformats.org/markup-compatibility/2006" xmlns:xr="http://schemas.microsoft.com/office/spreadsheetml/2014/revision" mc:Ignorable="xr" xr:uid="{47809D24-2569-4EBC-BF01-27476238E6F2}" name="PivotTable4"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0">
  <location ref="A3:B4" firstHeaderRow="0" firstDataRow="1" firstDataCol="0"/>
  <pivotFields count="13">
    <pivotField showAll="0"/>
    <pivotField numFmtId="164" showAll="0">
      <items count="8">
        <item m="1" x="4"/>
        <item m="1" x="5"/>
        <item m="1" x="6"/>
        <item x="0"/>
        <item x="1"/>
        <item x="2"/>
        <item x="3"/>
        <item t="default"/>
      </items>
    </pivotField>
    <pivotField showAll="0">
      <items count="2">
        <item x="0"/>
        <item t="default"/>
      </items>
    </pivotField>
    <pivotField showAll="0"/>
    <pivotField showAll="0"/>
    <pivotField numFmtId="1" showAll="0"/>
    <pivotField numFmtId="2" showAll="0"/>
    <pivotField dataField="1" showAll="0"/>
    <pivotField dataField="1" showAll="0"/>
    <pivotField showAll="0"/>
    <pivotField showAll="0"/>
    <pivotField showAll="0"/>
    <pivotField showAll="0">
      <items count="15">
        <item x="0"/>
        <item x="1"/>
        <item x="2"/>
        <item x="3"/>
        <item x="4"/>
        <item x="5"/>
        <item x="6"/>
        <item x="7"/>
        <item x="8"/>
        <item x="9"/>
        <item x="10"/>
        <item x="11"/>
        <item x="12"/>
        <item x="13"/>
        <item t="default"/>
      </items>
    </pivotField>
  </pivotFields>
  <rowItems count="1">
    <i/>
  </rowItems>
  <colFields count="1">
    <field x="-2"/>
  </colFields>
  <colItems count="2">
    <i>
      <x/>
    </i>
    <i i="1">
      <x v="1"/>
    </i>
  </colItems>
  <dataFields count="2">
    <dataField name="Total Naira Used" fld="7" baseField="0" baseItem="1"/>
    <dataField name="Total Naira Rolled Over" fld="8" baseField="0" baseItem="1"/>
  </dataFields>
  <chartFormats count="4">
    <chartFormat chart="7" format="8" series="1">
      <pivotArea type="data" outline="0" fieldPosition="0">
        <references count="1">
          <reference field="4294967294" count="1" selected="0">
            <x v="0"/>
          </reference>
        </references>
      </pivotArea>
    </chartFormat>
    <chartFormat chart="7" format="9" series="1">
      <pivotArea type="data" outline="0" fieldPosition="0">
        <references count="1">
          <reference field="4294967294" count="1" selected="0">
            <x v="1"/>
          </reference>
        </references>
      </pivotArea>
    </chartFormat>
    <chartFormat chart="9" format="12" series="1">
      <pivotArea type="data" outline="0" fieldPosition="0">
        <references count="1">
          <reference field="4294967294" count="1" selected="0">
            <x v="0"/>
          </reference>
        </references>
      </pivotArea>
    </chartFormat>
    <chartFormat chart="9" format="13" series="1">
      <pivotArea type="data" outline="0" fieldPosition="0">
        <references count="1">
          <reference field="4294967294" count="1" selected="0">
            <x v="1"/>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0.xml><?xml version="1.0" encoding="utf-8"?>
<pivotTableDefinition xmlns="http://schemas.openxmlformats.org/spreadsheetml/2006/main" xmlns:mc="http://schemas.openxmlformats.org/markup-compatibility/2006" xmlns:xr="http://schemas.microsoft.com/office/spreadsheetml/2014/revision" mc:Ignorable="xr" xr:uid="{7AF6CA49-4C84-4E9F-A49D-22222DBBE703}"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3">
  <location ref="A3:B9" firstHeaderRow="1" firstDataRow="1" firstDataCol="1"/>
  <pivotFields count="13">
    <pivotField showAll="0"/>
    <pivotField axis="axisRow" numFmtId="164" showAll="0">
      <items count="8">
        <item m="1" x="4"/>
        <item m="1" x="5"/>
        <item m="1" x="6"/>
        <item x="0"/>
        <item x="1"/>
        <item x="2"/>
        <item x="3"/>
        <item t="default"/>
      </items>
    </pivotField>
    <pivotField showAll="0">
      <items count="2">
        <item x="0"/>
        <item t="default"/>
      </items>
    </pivotField>
    <pivotField dataField="1" showAll="0"/>
    <pivotField showAll="0"/>
    <pivotField numFmtId="1" showAll="0"/>
    <pivotField numFmtId="2" showAll="0"/>
    <pivotField showAll="0"/>
    <pivotField showAll="0"/>
    <pivotField showAll="0"/>
    <pivotField showAll="0"/>
    <pivotField showAll="0"/>
    <pivotField axis="axisRow" showAll="0">
      <items count="15">
        <item x="0"/>
        <item x="1"/>
        <item x="2"/>
        <item x="3"/>
        <item x="4"/>
        <item x="5"/>
        <item x="6"/>
        <item x="7"/>
        <item x="8"/>
        <item x="9"/>
        <item x="10"/>
        <item x="11"/>
        <item x="12"/>
        <item x="13"/>
        <item t="default"/>
      </items>
    </pivotField>
  </pivotFields>
  <rowFields count="2">
    <field x="12"/>
    <field x="1"/>
  </rowFields>
  <rowItems count="6">
    <i>
      <x v="1"/>
    </i>
    <i r="1">
      <x v="3"/>
    </i>
    <i r="1">
      <x v="4"/>
    </i>
    <i r="1">
      <x v="5"/>
    </i>
    <i r="1">
      <x v="6"/>
    </i>
    <i t="grand">
      <x/>
    </i>
  </rowItems>
  <colItems count="1">
    <i/>
  </colItems>
  <dataFields count="1">
    <dataField name="Average Exchang Rate" fld="3" subtotal="average" baseField="0" baseItem="0"/>
  </dataFields>
  <chartFormats count="3">
    <chartFormat chart="1" format="0" series="1">
      <pivotArea type="data" outline="0" fieldPosition="0">
        <references count="1">
          <reference field="4294967294" count="1" selected="0">
            <x v="0"/>
          </reference>
        </references>
      </pivotArea>
    </chartFormat>
    <chartFormat chart="9" format="4" series="1">
      <pivotArea type="data" outline="0" fieldPosition="0">
        <references count="1">
          <reference field="4294967294" count="1" selected="0">
            <x v="0"/>
          </reference>
        </references>
      </pivotArea>
    </chartFormat>
    <chartFormat chart="11"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11.xml><?xml version="1.0" encoding="utf-8"?>
<pivotTableDefinition xmlns="http://schemas.openxmlformats.org/spreadsheetml/2006/main" xmlns:mc="http://schemas.openxmlformats.org/markup-compatibility/2006" xmlns:xr="http://schemas.microsoft.com/office/spreadsheetml/2014/revision" mc:Ignorable="xr" xr:uid="{EB973FD4-6582-4AD1-BF51-C5BE9B32115E}" name="PivotTable6"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1">
  <location ref="A3:B5" firstHeaderRow="1" firstDataRow="1" firstDataCol="1"/>
  <pivotFields count="13">
    <pivotField dataField="1" showAll="0"/>
    <pivotField numFmtId="164" showAll="0">
      <items count="8">
        <item m="1" x="4"/>
        <item m="1" x="5"/>
        <item m="1" x="6"/>
        <item x="0"/>
        <item x="1"/>
        <item x="2"/>
        <item x="3"/>
        <item t="default"/>
      </items>
    </pivotField>
    <pivotField axis="axisRow" showAll="0">
      <items count="2">
        <item x="0"/>
        <item t="default"/>
      </items>
    </pivotField>
    <pivotField showAll="0"/>
    <pivotField showAll="0"/>
    <pivotField numFmtId="1" showAll="0"/>
    <pivotField numFmtId="2" showAll="0"/>
    <pivotField showAll="0"/>
    <pivotField showAll="0"/>
    <pivotField showAll="0"/>
    <pivotField showAll="0"/>
    <pivotField showAll="0"/>
    <pivotField showAll="0">
      <items count="15">
        <item x="0"/>
        <item x="1"/>
        <item x="2"/>
        <item x="3"/>
        <item x="4"/>
        <item x="5"/>
        <item x="6"/>
        <item x="7"/>
        <item x="8"/>
        <item x="9"/>
        <item x="10"/>
        <item x="11"/>
        <item x="12"/>
        <item x="13"/>
        <item t="default"/>
      </items>
    </pivotField>
  </pivotFields>
  <rowFields count="1">
    <field x="2"/>
  </rowFields>
  <rowItems count="2">
    <i>
      <x/>
    </i>
    <i t="grand">
      <x/>
    </i>
  </rowItems>
  <colItems count="1">
    <i/>
  </colItems>
  <dataFields count="1">
    <dataField name="Count of Dollar_Purchase_ID" fld="0" subtotal="count" baseField="0" baseItem="0"/>
  </dataFields>
  <chartFormats count="2">
    <chartFormat chart="7" format="4" series="1">
      <pivotArea type="data" outline="0" fieldPosition="0">
        <references count="1">
          <reference field="4294967294" count="1" selected="0">
            <x v="0"/>
          </reference>
        </references>
      </pivotArea>
    </chartFormat>
    <chartFormat chart="9" format="6"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Type" xr10:uid="{0A6EECF1-1B8B-479D-B08D-488ED694173F}" sourceName="Payment_Type">
  <pivotTables>
    <pivotTable tabId="9" name="PivotTable4"/>
    <pivotTable tabId="13" name="PivotTable2"/>
    <pivotTable tabId="11" name="PivotTable1"/>
    <pivotTable tabId="8" name="PivotTable3"/>
    <pivotTable tabId="6" name="PivotTable1"/>
    <pivotTable tabId="7" name="PivotTable2"/>
    <pivotTable tabId="13" name="PivotTable3"/>
  </pivotTables>
  <data>
    <tabular pivotCacheId="1834272313">
      <items count="3">
        <i x="0" s="1"/>
        <i x="1" s="1"/>
        <i x="2"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aver_Name" xr10:uid="{8435F025-1E0C-4FD1-8616-CDB6AF16CB59}" sourceName="Saver_Name">
  <pivotTables>
    <pivotTable tabId="7" name="PivotTable2"/>
    <pivotTable tabId="13" name="PivotTable2"/>
    <pivotTable tabId="11" name="PivotTable1"/>
    <pivotTable tabId="8" name="PivotTable3"/>
    <pivotTable tabId="9" name="PivotTable4"/>
    <pivotTable tabId="6" name="PivotTable1"/>
    <pivotTable tabId="13" name="PivotTable3"/>
  </pivotTables>
  <data>
    <tabular pivotCacheId="1834272313">
      <items count="5">
        <i x="3" s="1"/>
        <i x="0" s="1"/>
        <i x="1" s="1"/>
        <i x="2" s="1"/>
        <i x="4" s="1" nd="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E15A488A-7D15-4155-A20A-0B4823174531}" sourceName="Month">
  <pivotTables>
    <pivotTable tabId="16" name="PivotTable5"/>
    <pivotTable tabId="15" name="PivotTable4"/>
    <pivotTable tabId="17" name="PivotTable6"/>
    <pivotTable tabId="14" name="PivotTable3"/>
  </pivotTables>
  <data>
    <tabular pivotCacheId="1691022768">
      <items count="1">
        <i x="0"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1" xr10:uid="{341D2227-FC4D-47B1-B56E-FB43EB72210A}" sourceName="Month">
  <pivotTables>
    <pivotTable tabId="13" name="PivotTable2"/>
    <pivotTable tabId="11" name="PivotTable1"/>
    <pivotTable tabId="8" name="PivotTable3"/>
    <pivotTable tabId="9" name="PivotTable4"/>
    <pivotTable tabId="6" name="PivotTable1"/>
    <pivotTable tabId="7" name="PivotTable2"/>
    <pivotTable tabId="13" name="PivotTable3"/>
  </pivotTables>
  <data>
    <tabular pivotCacheId="1834272313">
      <items count="2">
        <i x="0"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_Type" xr10:uid="{A62A0CBB-40CB-4923-A2BD-4E388C678FA7}" cache="Slicer_Payment_Type" caption="Payment_Type" columnCount="3" style="Family" rowHeight="257175"/>
  <slicer name="Saver_Name" xr10:uid="{7EF123D9-1D1A-40F5-AD39-562F48076154}" cache="Slicer_Saver_Name" caption="Saver_Name" columnCount="5" style="Family" rowHeight="257175"/>
  <slicer name="Month 1" xr10:uid="{3235176B-2AF1-428F-BC4F-61C2361AFDB9}" cache="Slicer_Month1" caption="Month" columnCount="2" style="Family" rowHeight="257175"/>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Month" xr10:uid="{AE0D821B-EE80-4288-A3C5-3B3A1D964FE0}" cache="Slicer_Month" caption="Month" style="Slicer Style 1" rowHeight="257175"/>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3C142293-80B5-4E7C-B0BD-198D1600DF1E}" name="TblSavings" displayName="TblSavings" ref="A1:P9" totalsRowShown="0" headerRowDxfId="40">
  <autoFilter ref="A1:P9" xr:uid="{3C142293-80B5-4E7C-B0BD-198D1600DF1E}"/>
  <tableColumns count="16">
    <tableColumn id="1" xr3:uid="{AB7B6FEA-8D57-4BF5-B4C3-953668DB1362}" name="Transaction_ID">
      <calculatedColumnFormula>"T"&amp;TEXT(ROW()-1,"000")</calculatedColumnFormula>
    </tableColumn>
    <tableColumn id="2" xr3:uid="{E5D6243E-DEC2-4BC8-BDC0-43FA5495DDAC}" name="Date" dataDxfId="39"/>
    <tableColumn id="3" xr3:uid="{F465ADE3-22C7-441B-B3B6-C0C8A5E3BD9A}" name="Week_Number" dataDxfId="38">
      <calculatedColumnFormula>WEEKNUM(TblSavings[[#This Row],[Date]],2)</calculatedColumnFormula>
    </tableColumn>
    <tableColumn id="4" xr3:uid="{70AE5EAF-9902-4733-BBFD-70E3B10F7334}" name="Month" dataDxfId="37">
      <calculatedColumnFormula>TEXT(TblSavings[[#This Row],[Date]],"mmm")</calculatedColumnFormula>
    </tableColumn>
    <tableColumn id="5" xr3:uid="{14BD2746-FAC8-4DA2-B7AD-33AF92A12AD9}" name="Saver_Name" dataDxfId="36"/>
    <tableColumn id="6" xr3:uid="{962FA7DA-8E71-462B-9646-C96405B338B8}" name="Amount_Paid_NGN" dataDxfId="35"/>
    <tableColumn id="11" xr3:uid="{F9055E43-2F07-4D91-9A2E-B97A46882294}" name="Equivalent_Weeks_Paid" dataDxfId="34">
      <calculatedColumnFormula>TblSavings[[#This Row],[Amount_Paid_NGN]]/1000</calculatedColumnFormula>
    </tableColumn>
    <tableColumn id="15" xr3:uid="{6032283C-7B6C-409E-A927-35751215E8AC}" name="Actual_Weeks_Paid" dataDxfId="33">
      <calculatedColumnFormula>SUMIFS(TblSavings[Equivalent_Weeks_Paid],TblSavings[Saver_Name],TblSavings[[#This Row],[Saver_Name]],TblSavings[Week_Number],"&lt;="&amp;TblSavings[[#This Row],[Week_Number]])</calculatedColumnFormula>
    </tableColumn>
    <tableColumn id="13" xr3:uid="{845CC24C-B83C-4AC8-BCBD-2DA4647949E4}" name="Equivalent_Weeks_To_Date" dataDxfId="32">
      <calculatedColumnFormula>TblSavings[[#This Row],[Week_Number]]</calculatedColumnFormula>
    </tableColumn>
    <tableColumn id="12" xr3:uid="{C5351E0B-7FE4-4BCE-A207-ACC5A45CD965}" name="Weeks_Variance" dataDxfId="31">
      <calculatedColumnFormula>TblSavings[[#This Row],[Actual_Weeks_Paid]]-TblSavings[[#This Row],[Equivalent_Weeks_To_Date]]</calculatedColumnFormula>
    </tableColumn>
    <tableColumn id="10" xr3:uid="{7A95BA88-92EA-4429-B4A3-4144D1CC1C28}" name="Missed_Weeks" dataDxfId="30">
      <calculatedColumnFormula>IF(TblSavings[[#This Row],[Weeks_Variance]]&lt;0,ABS(TblSavings[[#This Row],[Weeks_Variance]]),0)</calculatedColumnFormula>
    </tableColumn>
    <tableColumn id="14" xr3:uid="{5DCA38DA-B4C7-4306-ADF2-BE3E3F776CFD}" name="Status" dataDxfId="29">
      <calculatedColumnFormula>IF(TblSavings[[#This Row],[Weeks_Variance]]&gt;0,"Ahead",IF(TblSavings[[#This Row],[Weeks_Variance]]=0,"On Track","Behind"))</calculatedColumnFormula>
    </tableColumn>
    <tableColumn id="7" xr3:uid="{C973573D-00E3-4D47-9EAB-9A8BB8E20E47}" name="Payment_Type" dataDxfId="28">
      <calculatedColumnFormula>IF(TblSavings[[#This Row],[Amount_Paid_NGN]]&gt;=BulkMin,"Bulk",IF(TblSavings[[#This Row],[Amount_Paid_NGN]]&gt;=CatcUpMin,"Catch-up","Weekly"))</calculatedColumnFormula>
    </tableColumn>
    <tableColumn id="8" xr3:uid="{76D125DB-5550-4030-BAA3-94C28932502B}" name="Received_By" dataDxfId="27"/>
    <tableColumn id="9" xr3:uid="{74259A3D-362F-4150-9D1B-1BE4FADE4E0C}" name="Notes"/>
    <tableColumn id="16" xr3:uid="{BC6EFC29-D040-4BAE-B952-7CC7C767CE0D}" name="Dollar_Purchase_ID"/>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4AE9BC08-C19D-4CE2-BC08-A06AFE925492}" name="Table4" displayName="Table4" ref="A1:F6" totalsRowShown="0">
  <autoFilter ref="A1:F6" xr:uid="{4AE9BC08-C19D-4CE2-BC08-A06AFE925492}"/>
  <tableColumns count="6">
    <tableColumn id="1" xr3:uid="{622645EB-0536-406A-9A7B-9D7BF2E7B5ED}" name="Saver_Name"/>
    <tableColumn id="2" xr3:uid="{0E8262CC-8922-44C2-8D77-AFE13CCF8560}" name="Latest_week" dataDxfId="22">
      <calculatedColumnFormula>_xlfn.MAXIFS(TblSavings[Week_Number],TblSavings[Saver_Name],Table4[[#This Row],[Saver_Name]])</calculatedColumnFormula>
    </tableColumn>
    <tableColumn id="3" xr3:uid="{D8787CC8-0F46-435D-A1CA-3DD1CE87EA84}" name="Actual_Weeks_paid" dataDxfId="21">
      <calculatedColumnFormula array="1">_xlfn.XLOOKUP(Table4[[#This Row],[Saver_Name]]&amp;Table4[[#This Row],[Latest_week]],TblSavings[Saver_Name]&amp;TblSavings[Week_Number],TblSavings[Actual_Weeks_Paid],"")</calculatedColumnFormula>
    </tableColumn>
    <tableColumn id="4" xr3:uid="{77AD36F3-3922-46E3-90CC-C8475936CF73}" name="Expected_Weeks_To_Date" dataDxfId="20">
      <calculatedColumnFormula array="1">_xlfn.XLOOKUP(Table4[[#This Row],[Saver_Name]]&amp;Table4[[#This Row],[Latest_week]],TblSavings[Saver_Name]&amp;TblSavings[Week_Number],TblSavings[Equivalent_Weeks_To_Date],"")</calculatedColumnFormula>
    </tableColumn>
    <tableColumn id="5" xr3:uid="{71E7F082-9BAB-4CF1-9E29-1F3E0AC18438}" name="Weeks_Variance" dataDxfId="19">
      <calculatedColumnFormula array="1">_xlfn.XLOOKUP(Table4[[#This Row],[Saver_Name]]&amp;Table4[[#This Row],[Latest_week]],TblSavings[Saver_Name]&amp;TblSavings[Week_Number],TblSavings[Weeks_Variance],"")</calculatedColumnFormula>
    </tableColumn>
    <tableColumn id="6" xr3:uid="{1FA1FDAA-4C92-4FD4-80FF-35B6CBDCC955}" name="Status" dataDxfId="18">
      <calculatedColumnFormula array="1">_xlfn.XLOOKUP(Table4[[#This Row],[Saver_Name]]&amp;Table4[[#This Row],[Latest_week]],TblSavings[Saver_Name]&amp;TblSavings[Week_Number],TblSavings[Status],"")</calculatedColumnFormula>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DC0BFA10-0DA8-454F-9361-651F94453E98}" name="tblSavers" displayName="tblSavers" ref="A1:K6" totalsRowShown="0">
  <autoFilter ref="A1:K6" xr:uid="{DC0BFA10-0DA8-454F-9361-651F94453E98}"/>
  <tableColumns count="11">
    <tableColumn id="1" xr3:uid="{C364DE66-801B-4AF5-BDD1-5BDB40230D25}" name="Saver_ID" dataDxfId="17">
      <calculatedColumnFormula array="1">"S"&amp;TEXT(ROW()-ROW(tblSavers[#Headers]),"000")</calculatedColumnFormula>
    </tableColumn>
    <tableColumn id="2" xr3:uid="{AD642607-E6A7-4587-A877-B9134365FB07}" name="Saver_Name"/>
    <tableColumn id="10" xr3:uid="{EBFC8008-548A-4171-AA50-61A64193E05F}" name="Preferred_Payment_Type"/>
    <tableColumn id="3" xr3:uid="{71C8F686-E6FC-40F0-A83E-05B4B8AFE69D}" name="Contact" dataDxfId="16"/>
    <tableColumn id="4" xr3:uid="{B59B0003-8ED1-4EB7-BE18-B40121FB3CB5}" name="Start_Date"/>
    <tableColumn id="5" xr3:uid="{DD36A0C3-F057-4618-A4DB-A5D86650D6DE}" name="Status"/>
    <tableColumn id="6" xr3:uid="{FEAAAD2D-7580-4A95-BB72-6EA687F457C2}" name="Notes"/>
    <tableColumn id="7" xr3:uid="{6FB35DC2-29B5-4991-A67D-DABC3DEE2112}" name="Role"/>
    <tableColumn id="13" xr3:uid="{F973307E-AA98-46B1-A9DA-3EFA0D66DDD9}" name="Target_Weeks_Per_Year"/>
    <tableColumn id="8" xr3:uid="{C762B173-6E92-4ECB-A192-F1AE135E4E76}" name="Payment Preference"/>
    <tableColumn id="9" xr3:uid="{016B4FB1-2EFF-4EE7-A123-3A48C773123F}" name="Target Behaviour"/>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200ECAAD-A840-4B82-8E59-59DCAD2BD99C}" name="tblDollar" displayName="tblDollar" ref="A1:L5" totalsRowShown="0">
  <autoFilter ref="A1:L5" xr:uid="{200ECAAD-A840-4B82-8E59-59DCAD2BD99C}"/>
  <tableColumns count="12">
    <tableColumn id="1" xr3:uid="{E256ECBC-807E-4D41-8D82-CA4AE4DCD985}" name="Dollar_Purchase_ID">
      <calculatedColumnFormula array="1">"D"&amp;TEXT(ROW()-ROW(tblDollar[#Headers]),"000")</calculatedColumnFormula>
    </tableColumn>
    <tableColumn id="2" xr3:uid="{79F30D1C-82A4-4199-8145-07B0BB3B2396}" name="Purchase_Date" dataDxfId="15" totalsRowDxfId="14"/>
    <tableColumn id="3" xr3:uid="{D718A306-8259-418B-A4DE-9A710285667B}" name="Month" dataDxfId="13" totalsRowDxfId="12">
      <calculatedColumnFormula>TEXT(tblDollar[[#This Row],[Purchase_Date]],"mmm")</calculatedColumnFormula>
    </tableColumn>
    <tableColumn id="5" xr3:uid="{3AF584EB-2A67-44CD-AEAB-4E93C12FFD2B}" name="Exchange_Rate"/>
    <tableColumn id="14" xr3:uid="{4FCC9B4E-335D-4F17-878C-F22780861B14}" name="Naira_Amount" dataDxfId="11" totalsRowDxfId="10">
      <calculatedColumnFormula>SUMIFS(TblSavings[Amount_Paid_NGN],TblSavings[Dollar_Purchase_ID],tblDollar[[#This Row],[Dollar_Purchase_ID]])</calculatedColumnFormula>
    </tableColumn>
    <tableColumn id="16" xr3:uid="{8EF84F2A-82AC-46D7-AFD1-14FD4D54D26E}" name="Available_Naira" dataDxfId="9" totalsRowDxfId="8">
      <calculatedColumnFormula>tblDollar[[#This Row],[Naira_Amount]]</calculatedColumnFormula>
    </tableColumn>
    <tableColumn id="6" xr3:uid="{D66386FD-37FF-4BD0-9C82-E8B3A7F39418}" name="USD_Amount" dataDxfId="7" totalsRowDxfId="6">
      <calculatedColumnFormula>FLOOR(tblDollar[[#This Row],[Naira_Amount]]/tblDollar[[#This Row],[Exchange_Rate]],0.01)</calculatedColumnFormula>
    </tableColumn>
    <tableColumn id="7" xr3:uid="{D5027B05-6B30-47C7-BF49-393E286DBB29}" name="Naira_Used">
      <calculatedColumnFormula>tblDollar[[#This Row],[USD_Amount]]*tblDollar[[#This Row],[Exchange_Rate]]</calculatedColumnFormula>
    </tableColumn>
    <tableColumn id="8" xr3:uid="{A3637BBA-BAFB-47F6-A98B-33628686D195}" name="Naira_Rollover" dataDxfId="5" totalsRowDxfId="4">
      <calculatedColumnFormula>tblDollar[[#This Row],[Naira_Amount]]-tblDollar[[#This Row],[Naira_Used]]</calculatedColumnFormula>
    </tableColumn>
    <tableColumn id="15" xr3:uid="{2DC630A7-6A22-4709-9CC1-98234467BC64}" name="Cummulative_Rollover" dataDxfId="3" totalsRowDxfId="2">
      <calculatedColumnFormula>SUM(INDEX(tblDollar[Naira_Rollover],1):tblDollar[[#This Row],[Naira_Rollover]])</calculatedColumnFormula>
    </tableColumn>
    <tableColumn id="9" xr3:uid="{E170EA6A-AC97-4A2C-B9C5-4CCDA32DCB71}" name="Contributors" dataDxfId="1" totalsRowDxfId="0">
      <calculatedColumnFormula array="1">IFERROR(_xlfn.TEXTJOIN(",",TRUE,_xlfn.UNIQUE(_xlfn._xlws.FILTER(TblSavings[Saver_Name],TblSavings[Dollar_Purchase_ID]=tblDollar[[#This Row],[Dollar_Purchase_ID]]))),"")</calculatedColumnFormula>
    </tableColumn>
    <tableColumn id="10" xr3:uid="{BAF73DB9-52F5-4C76-B296-353440315A7A}" name="Notes"/>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microsoft.com/office/2007/relationships/slicer" Target="../slicers/slicer1.xml"/><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pivotTable" Target="../pivotTables/pivotTable7.xml"/><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2.bin"/></Relationships>
</file>

<file path=xl/worksheets/_rels/sheet9.xml.rels><?xml version="1.0" encoding="UTF-8" standalone="yes"?>
<Relationships xmlns="http://schemas.openxmlformats.org/package/2006/relationships"><Relationship Id="rId1" Type="http://schemas.openxmlformats.org/officeDocument/2006/relationships/table" Target="../tables/table2.xml"/></Relationships>
</file>

<file path=xl/worksheets/_rels/sheet10.xml.rels><?xml version="1.0" encoding="UTF-8" standalone="yes"?>
<Relationships xmlns="http://schemas.openxmlformats.org/package/2006/relationships"><Relationship Id="rId1" Type="http://schemas.openxmlformats.org/officeDocument/2006/relationships/table" Target="../tables/table3.xml"/></Relationships>
</file>

<file path=xl/worksheets/_rels/sheet12.xml.rels><?xml version="1.0" encoding="UTF-8" standalone="yes"?>
<Relationships xmlns="http://schemas.openxmlformats.org/package/2006/relationships"><Relationship Id="rId1" Type="http://schemas.openxmlformats.org/officeDocument/2006/relationships/pivotTable" Target="../pivotTables/pivotTable8.xml"/></Relationships>
</file>

<file path=xl/worksheets/_rels/sheet13.xml.rels><?xml version="1.0" encoding="UTF-8" standalone="yes"?>
<Relationships xmlns="http://schemas.openxmlformats.org/package/2006/relationships"><Relationship Id="rId1" Type="http://schemas.openxmlformats.org/officeDocument/2006/relationships/pivotTable" Target="../pivotTables/pivotTable9.xml"/></Relationships>
</file>

<file path=xl/worksheets/_rels/sheet14.xml.rels><?xml version="1.0" encoding="UTF-8" standalone="yes"?>
<Relationships xmlns="http://schemas.openxmlformats.org/package/2006/relationships"><Relationship Id="rId1" Type="http://schemas.openxmlformats.org/officeDocument/2006/relationships/pivotTable" Target="../pivotTables/pivotTable10.xml"/></Relationships>
</file>

<file path=xl/worksheets/_rels/sheet15.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16.xml.rels><?xml version="1.0" encoding="UTF-8" standalone="yes"?>
<Relationships xmlns="http://schemas.openxmlformats.org/package/2006/relationships"><Relationship Id="rId1" Type="http://schemas.openxmlformats.org/officeDocument/2006/relationships/pivotTable" Target="../pivotTables/pivotTable1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E027E3-B6F3-4976-9742-79764479484C}">
  <sheetPr codeName="Sheet1"/>
  <dimension ref="A1:G9"/>
  <sheetViews>
    <sheetView zoomScale="80" zoomScaleNormal="80" workbookViewId="0">
      <selection activeCell="I18" sqref="I18"/>
    </sheetView>
  </sheetViews>
  <sheetFormatPr defaultRowHeight="15" x14ac:dyDescent="0.25"/>
  <cols>
    <col min="1" max="1" width="29.7109375" bestFit="1" customWidth="1"/>
    <col min="2" max="2" width="17.42578125" bestFit="1" customWidth="1"/>
    <col min="3" max="3" width="2.28515625" bestFit="1" customWidth="1"/>
    <col min="4" max="4" width="3.42578125" bestFit="1" customWidth="1"/>
    <col min="5" max="5" width="2.28515625" bestFit="1" customWidth="1"/>
    <col min="6" max="6" width="3.42578125" bestFit="1" customWidth="1"/>
    <col min="7" max="8" width="11.28515625" bestFit="1" customWidth="1"/>
    <col min="9" max="9" width="25.140625" bestFit="1" customWidth="1"/>
    <col min="10" max="10" width="34.7109375" bestFit="1" customWidth="1"/>
    <col min="11" max="11" width="30.140625" bestFit="1" customWidth="1"/>
    <col min="12" max="12" width="32.7109375" bestFit="1" customWidth="1"/>
    <col min="13" max="13" width="22.42578125" bestFit="1" customWidth="1"/>
    <col min="14" max="14" width="34.7109375" bestFit="1" customWidth="1"/>
    <col min="15" max="15" width="37.7109375" bestFit="1" customWidth="1"/>
    <col min="16" max="16" width="27.42578125" bestFit="1" customWidth="1"/>
    <col min="17" max="17" width="22.42578125" bestFit="1" customWidth="1"/>
    <col min="18" max="18" width="34.7109375" bestFit="1" customWidth="1"/>
    <col min="19" max="19" width="30.140625" bestFit="1" customWidth="1"/>
    <col min="20" max="20" width="37.7109375" bestFit="1" customWidth="1"/>
    <col min="21" max="21" width="27.42578125" bestFit="1" customWidth="1"/>
    <col min="22" max="22" width="30.140625" bestFit="1" customWidth="1"/>
    <col min="23" max="23" width="34.7109375" bestFit="1" customWidth="1"/>
    <col min="24" max="24" width="30.140625" bestFit="1" customWidth="1"/>
    <col min="25" max="25" width="37.7109375" bestFit="1" customWidth="1"/>
    <col min="26" max="26" width="27.42578125" bestFit="1" customWidth="1"/>
  </cols>
  <sheetData>
    <row r="1" spans="1:7" x14ac:dyDescent="0.25">
      <c r="A1" s="12" t="s">
        <v>16</v>
      </c>
      <c r="B1" t="s">
        <v>72</v>
      </c>
    </row>
    <row r="3" spans="1:7" x14ac:dyDescent="0.25">
      <c r="A3" s="12" t="s">
        <v>69</v>
      </c>
      <c r="B3" s="12" t="s">
        <v>70</v>
      </c>
    </row>
    <row r="4" spans="1:7" x14ac:dyDescent="0.25">
      <c r="A4" s="12" t="s">
        <v>66</v>
      </c>
      <c r="B4">
        <v>2</v>
      </c>
      <c r="C4">
        <v>3</v>
      </c>
      <c r="D4">
        <v>5</v>
      </c>
      <c r="E4">
        <v>4</v>
      </c>
      <c r="F4">
        <v>14</v>
      </c>
      <c r="G4" t="s">
        <v>67</v>
      </c>
    </row>
    <row r="5" spans="1:7" x14ac:dyDescent="0.25">
      <c r="A5" s="13" t="s">
        <v>25</v>
      </c>
      <c r="B5" s="11"/>
      <c r="C5" s="11"/>
      <c r="D5" s="11">
        <v>5</v>
      </c>
      <c r="E5" s="11"/>
      <c r="F5" s="11"/>
      <c r="G5" s="11">
        <v>5</v>
      </c>
    </row>
    <row r="6" spans="1:7" x14ac:dyDescent="0.25">
      <c r="A6" s="13" t="s">
        <v>12</v>
      </c>
      <c r="B6" s="11">
        <v>5</v>
      </c>
      <c r="C6" s="11"/>
      <c r="D6" s="11"/>
      <c r="E6" s="11"/>
      <c r="F6" s="11"/>
      <c r="G6" s="11">
        <v>5</v>
      </c>
    </row>
    <row r="7" spans="1:7" x14ac:dyDescent="0.25">
      <c r="A7" s="13" t="s">
        <v>9</v>
      </c>
      <c r="B7" s="11">
        <v>2</v>
      </c>
      <c r="C7" s="11">
        <v>2</v>
      </c>
      <c r="D7" s="11">
        <v>2</v>
      </c>
      <c r="E7" s="11">
        <v>1</v>
      </c>
      <c r="F7" s="11"/>
      <c r="G7" s="11">
        <v>7</v>
      </c>
    </row>
    <row r="8" spans="1:7" x14ac:dyDescent="0.25">
      <c r="A8" s="13" t="s">
        <v>24</v>
      </c>
      <c r="B8" s="11"/>
      <c r="C8" s="11"/>
      <c r="D8" s="11">
        <v>5</v>
      </c>
      <c r="E8" s="11"/>
      <c r="F8" s="11">
        <v>4</v>
      </c>
      <c r="G8" s="11">
        <v>9</v>
      </c>
    </row>
    <row r="9" spans="1:7" x14ac:dyDescent="0.25">
      <c r="A9" s="13" t="s">
        <v>67</v>
      </c>
      <c r="B9" s="11">
        <v>7</v>
      </c>
      <c r="C9" s="11">
        <v>2</v>
      </c>
      <c r="D9" s="11">
        <v>12</v>
      </c>
      <c r="E9" s="11">
        <v>1</v>
      </c>
      <c r="F9" s="11">
        <v>4</v>
      </c>
      <c r="G9" s="11">
        <v>26</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A6561F-698D-48D5-81D8-D85C76A4037F}">
  <sheetPr codeName="Sheet2">
    <tabColor theme="4" tint="-0.499984740745262"/>
  </sheetPr>
  <dimension ref="B1"/>
  <sheetViews>
    <sheetView showGridLines="0" tabSelected="1" topLeftCell="Y2" zoomScale="50" zoomScaleNormal="50" workbookViewId="0">
      <selection activeCell="Z47" sqref="Z47"/>
    </sheetView>
  </sheetViews>
  <sheetFormatPr defaultRowHeight="15" x14ac:dyDescent="0.25"/>
  <sheetData>
    <row r="1" spans="2:2" x14ac:dyDescent="0.25">
      <c r="B1">
        <v>1</v>
      </c>
    </row>
  </sheetData>
  <pageMargins left="0.7" right="0.7" top="0.75" bottom="0.75" header="0.3" footer="0.3"/>
  <drawing r:id="rId1"/>
  <extLst>
    <ext xmlns:x14="http://schemas.microsoft.com/office/spreadsheetml/2009/9/main" uri="{A8765BA9-456A-4dab-B4F3-ACF838C121DE}">
      <x14:slicerList>
        <x14:slicer r:id="rId2"/>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CA4797-7BF4-4D52-89E0-7975F1FD5414}">
  <sheetPr codeName="Sheet3"/>
  <dimension ref="A3:C9"/>
  <sheetViews>
    <sheetView workbookViewId="0">
      <selection activeCell="A4" sqref="A4"/>
    </sheetView>
  </sheetViews>
  <sheetFormatPr defaultRowHeight="15" x14ac:dyDescent="0.25"/>
  <cols>
    <col min="1" max="1" width="13.42578125" bestFit="1" customWidth="1"/>
    <col min="2" max="2" width="21.7109375" bestFit="1" customWidth="1"/>
    <col min="3" max="3" width="29.7109375" bestFit="1" customWidth="1"/>
  </cols>
  <sheetData>
    <row r="3" spans="1:3" x14ac:dyDescent="0.25">
      <c r="A3" s="12" t="s">
        <v>66</v>
      </c>
      <c r="B3" t="s">
        <v>73</v>
      </c>
      <c r="C3" t="s">
        <v>69</v>
      </c>
    </row>
    <row r="4" spans="1:3" x14ac:dyDescent="0.25">
      <c r="A4" s="13">
        <v>14</v>
      </c>
      <c r="B4" s="11">
        <v>1</v>
      </c>
      <c r="C4" s="11">
        <v>4</v>
      </c>
    </row>
    <row r="5" spans="1:3" x14ac:dyDescent="0.25">
      <c r="A5" s="13">
        <v>5</v>
      </c>
      <c r="B5" s="11">
        <v>3</v>
      </c>
      <c r="C5" s="11">
        <v>12</v>
      </c>
    </row>
    <row r="6" spans="1:3" x14ac:dyDescent="0.25">
      <c r="A6" s="13">
        <v>4</v>
      </c>
      <c r="B6" s="11">
        <v>1</v>
      </c>
      <c r="C6" s="11">
        <v>1</v>
      </c>
    </row>
    <row r="7" spans="1:3" x14ac:dyDescent="0.25">
      <c r="A7" s="13">
        <v>3</v>
      </c>
      <c r="B7" s="11">
        <v>1</v>
      </c>
      <c r="C7" s="11">
        <v>2</v>
      </c>
    </row>
    <row r="8" spans="1:3" x14ac:dyDescent="0.25">
      <c r="A8" s="13">
        <v>2</v>
      </c>
      <c r="B8" s="11">
        <v>2</v>
      </c>
      <c r="C8" s="11">
        <v>7</v>
      </c>
    </row>
    <row r="9" spans="1:3" x14ac:dyDescent="0.25">
      <c r="A9" s="13" t="s">
        <v>67</v>
      </c>
      <c r="B9" s="11">
        <v>8</v>
      </c>
      <c r="C9" s="11">
        <v>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9FD5D9-367D-4BD6-9F82-F7A6A7562846}">
  <sheetPr codeName="Sheet4"/>
  <dimension ref="A1:B8"/>
  <sheetViews>
    <sheetView workbookViewId="0">
      <selection activeCell="B5" sqref="B5"/>
    </sheetView>
  </sheetViews>
  <sheetFormatPr defaultRowHeight="15" x14ac:dyDescent="0.25"/>
  <cols>
    <col min="1" max="1" width="13.42578125" bestFit="1" customWidth="1"/>
    <col min="2" max="2" width="18.28515625" bestFit="1" customWidth="1"/>
  </cols>
  <sheetData>
    <row r="1" spans="1:2" x14ac:dyDescent="0.25">
      <c r="A1" s="12" t="s">
        <v>16</v>
      </c>
      <c r="B1" t="s">
        <v>72</v>
      </c>
    </row>
    <row r="3" spans="1:2" x14ac:dyDescent="0.25">
      <c r="A3" s="12" t="s">
        <v>66</v>
      </c>
      <c r="B3" t="s">
        <v>74</v>
      </c>
    </row>
    <row r="4" spans="1:2" x14ac:dyDescent="0.25">
      <c r="A4" s="13" t="s">
        <v>25</v>
      </c>
      <c r="B4" s="11">
        <v>0</v>
      </c>
    </row>
    <row r="5" spans="1:2" x14ac:dyDescent="0.25">
      <c r="A5" s="13" t="s">
        <v>12</v>
      </c>
      <c r="B5" s="11">
        <v>0</v>
      </c>
    </row>
    <row r="6" spans="1:2" x14ac:dyDescent="0.25">
      <c r="A6" s="13" t="s">
        <v>9</v>
      </c>
      <c r="B6" s="11">
        <v>0</v>
      </c>
    </row>
    <row r="7" spans="1:2" x14ac:dyDescent="0.25">
      <c r="A7" s="13" t="s">
        <v>24</v>
      </c>
      <c r="B7" s="11">
        <v>5</v>
      </c>
    </row>
    <row r="8" spans="1:2" x14ac:dyDescent="0.25">
      <c r="A8" s="13" t="s">
        <v>67</v>
      </c>
      <c r="B8" s="11">
        <v>5</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C59D3-59DB-4055-8052-1981EB573F8B}">
  <sheetPr codeName="Sheet5"/>
  <dimension ref="A3:I10"/>
  <sheetViews>
    <sheetView workbookViewId="0">
      <selection activeCell="B6" sqref="B6"/>
    </sheetView>
  </sheetViews>
  <sheetFormatPr defaultRowHeight="15" x14ac:dyDescent="0.25"/>
  <cols>
    <col min="1" max="1" width="13.42578125" bestFit="1" customWidth="1"/>
    <col min="2" max="2" width="20.140625" bestFit="1" customWidth="1"/>
    <col min="3" max="3" width="25" bestFit="1" customWidth="1"/>
    <col min="4" max="4" width="20.140625" bestFit="1" customWidth="1"/>
    <col min="5" max="5" width="25" bestFit="1" customWidth="1"/>
    <col min="6" max="6" width="20.140625" bestFit="1" customWidth="1"/>
    <col min="7" max="7" width="25" bestFit="1" customWidth="1"/>
    <col min="8" max="8" width="25.140625" bestFit="1" customWidth="1"/>
    <col min="9" max="9" width="30.140625" bestFit="1" customWidth="1"/>
  </cols>
  <sheetData>
    <row r="3" spans="1:9" x14ac:dyDescent="0.25">
      <c r="B3" s="12" t="s">
        <v>70</v>
      </c>
    </row>
    <row r="4" spans="1:9" x14ac:dyDescent="0.25">
      <c r="B4" t="s">
        <v>29</v>
      </c>
      <c r="D4" t="s">
        <v>33</v>
      </c>
      <c r="F4" t="s">
        <v>88</v>
      </c>
      <c r="H4" t="s">
        <v>76</v>
      </c>
      <c r="I4" t="s">
        <v>71</v>
      </c>
    </row>
    <row r="5" spans="1:9" x14ac:dyDescent="0.25">
      <c r="A5" s="12" t="s">
        <v>66</v>
      </c>
      <c r="B5" t="s">
        <v>75</v>
      </c>
      <c r="C5" t="s">
        <v>68</v>
      </c>
      <c r="D5" t="s">
        <v>75</v>
      </c>
      <c r="E5" t="s">
        <v>68</v>
      </c>
      <c r="F5" t="s">
        <v>75</v>
      </c>
      <c r="G5" t="s">
        <v>68</v>
      </c>
    </row>
    <row r="6" spans="1:9" x14ac:dyDescent="0.25">
      <c r="A6" s="13" t="s">
        <v>25</v>
      </c>
      <c r="B6" s="11">
        <v>1</v>
      </c>
      <c r="C6" s="11">
        <v>5000</v>
      </c>
      <c r="D6" s="11"/>
      <c r="E6" s="11"/>
      <c r="F6" s="11"/>
      <c r="G6" s="11"/>
      <c r="H6" s="11">
        <v>1</v>
      </c>
      <c r="I6" s="11">
        <v>5000</v>
      </c>
    </row>
    <row r="7" spans="1:9" x14ac:dyDescent="0.25">
      <c r="A7" s="13" t="s">
        <v>12</v>
      </c>
      <c r="B7" s="11">
        <v>1</v>
      </c>
      <c r="C7" s="11">
        <v>5000</v>
      </c>
      <c r="D7" s="11"/>
      <c r="E7" s="11"/>
      <c r="F7" s="11"/>
      <c r="G7" s="11"/>
      <c r="H7" s="11">
        <v>1</v>
      </c>
      <c r="I7" s="11">
        <v>5000</v>
      </c>
    </row>
    <row r="8" spans="1:9" x14ac:dyDescent="0.25">
      <c r="A8" s="13" t="s">
        <v>9</v>
      </c>
      <c r="B8" s="11"/>
      <c r="C8" s="11"/>
      <c r="D8" s="11">
        <v>3</v>
      </c>
      <c r="E8" s="11">
        <v>6000</v>
      </c>
      <c r="F8" s="11">
        <v>1</v>
      </c>
      <c r="G8" s="11">
        <v>1000</v>
      </c>
      <c r="H8" s="11">
        <v>4</v>
      </c>
      <c r="I8" s="11">
        <v>7000</v>
      </c>
    </row>
    <row r="9" spans="1:9" x14ac:dyDescent="0.25">
      <c r="A9" s="13" t="s">
        <v>24</v>
      </c>
      <c r="B9" s="11">
        <v>2</v>
      </c>
      <c r="C9" s="11">
        <v>9000</v>
      </c>
      <c r="D9" s="11"/>
      <c r="E9" s="11"/>
      <c r="F9" s="11"/>
      <c r="G9" s="11"/>
      <c r="H9" s="11">
        <v>2</v>
      </c>
      <c r="I9" s="11">
        <v>9000</v>
      </c>
    </row>
    <row r="10" spans="1:9" x14ac:dyDescent="0.25">
      <c r="A10" s="13" t="s">
        <v>67</v>
      </c>
      <c r="B10" s="11">
        <v>4</v>
      </c>
      <c r="C10" s="11">
        <v>19000</v>
      </c>
      <c r="D10" s="11">
        <v>3</v>
      </c>
      <c r="E10" s="11">
        <v>6000</v>
      </c>
      <c r="F10" s="11">
        <v>1</v>
      </c>
      <c r="G10" s="11">
        <v>1000</v>
      </c>
      <c r="H10" s="11">
        <v>8</v>
      </c>
      <c r="I10" s="11">
        <v>26000</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A35366-0F02-4489-BFFB-C76FF21FA48D}">
  <sheetPr codeName="Sheet6"/>
  <dimension ref="A3:B9"/>
  <sheetViews>
    <sheetView workbookViewId="0">
      <selection activeCell="A4" sqref="A4"/>
    </sheetView>
  </sheetViews>
  <sheetFormatPr defaultRowHeight="15" x14ac:dyDescent="0.25"/>
  <cols>
    <col min="1" max="1" width="13.42578125" bestFit="1" customWidth="1"/>
    <col min="2" max="2" width="25" bestFit="1" customWidth="1"/>
  </cols>
  <sheetData>
    <row r="3" spans="1:2" x14ac:dyDescent="0.25">
      <c r="A3" s="12" t="s">
        <v>66</v>
      </c>
      <c r="B3" t="s">
        <v>68</v>
      </c>
    </row>
    <row r="4" spans="1:2" x14ac:dyDescent="0.25">
      <c r="A4" s="13">
        <v>2</v>
      </c>
      <c r="B4" s="11">
        <v>7000</v>
      </c>
    </row>
    <row r="5" spans="1:2" x14ac:dyDescent="0.25">
      <c r="A5" s="13">
        <v>3</v>
      </c>
      <c r="B5" s="11">
        <v>2000</v>
      </c>
    </row>
    <row r="6" spans="1:2" x14ac:dyDescent="0.25">
      <c r="A6" s="13">
        <v>4</v>
      </c>
      <c r="B6" s="11">
        <v>1000</v>
      </c>
    </row>
    <row r="7" spans="1:2" x14ac:dyDescent="0.25">
      <c r="A7" s="13">
        <v>5</v>
      </c>
      <c r="B7" s="11">
        <v>12000</v>
      </c>
    </row>
    <row r="8" spans="1:2" x14ac:dyDescent="0.25">
      <c r="A8" s="13">
        <v>14</v>
      </c>
      <c r="B8" s="11">
        <v>4000</v>
      </c>
    </row>
    <row r="9" spans="1:2" x14ac:dyDescent="0.25">
      <c r="A9" s="13" t="s">
        <v>67</v>
      </c>
      <c r="B9" s="11">
        <v>26000</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6BA583-36D5-4B9F-92C3-E932A0EDD19E}">
  <sheetPr codeName="Sheet7"/>
  <dimension ref="A3:C18"/>
  <sheetViews>
    <sheetView workbookViewId="0">
      <selection activeCell="B16" sqref="B16"/>
    </sheetView>
  </sheetViews>
  <sheetFormatPr defaultRowHeight="15" x14ac:dyDescent="0.25"/>
  <cols>
    <col min="1" max="1" width="25" bestFit="1" customWidth="1"/>
    <col min="2" max="2" width="23.5703125" bestFit="1" customWidth="1"/>
    <col min="3" max="3" width="24.85546875" bestFit="1" customWidth="1"/>
  </cols>
  <sheetData>
    <row r="3" spans="1:3" x14ac:dyDescent="0.25">
      <c r="A3" s="12" t="s">
        <v>66</v>
      </c>
      <c r="B3" t="s">
        <v>77</v>
      </c>
      <c r="C3" t="s">
        <v>78</v>
      </c>
    </row>
    <row r="4" spans="1:3" x14ac:dyDescent="0.25">
      <c r="A4" s="13">
        <v>2</v>
      </c>
      <c r="B4" s="11">
        <v>7</v>
      </c>
      <c r="C4" s="11">
        <v>2</v>
      </c>
    </row>
    <row r="5" spans="1:3" x14ac:dyDescent="0.25">
      <c r="A5" s="13">
        <v>3</v>
      </c>
      <c r="B5" s="11">
        <v>2</v>
      </c>
      <c r="C5" s="11">
        <v>3</v>
      </c>
    </row>
    <row r="6" spans="1:3" x14ac:dyDescent="0.25">
      <c r="A6" s="13">
        <v>4</v>
      </c>
      <c r="B6" s="11">
        <v>1</v>
      </c>
      <c r="C6" s="11">
        <v>4</v>
      </c>
    </row>
    <row r="7" spans="1:3" x14ac:dyDescent="0.25">
      <c r="A7" s="13">
        <v>5</v>
      </c>
      <c r="B7" s="11">
        <v>12</v>
      </c>
      <c r="C7" s="11">
        <v>5</v>
      </c>
    </row>
    <row r="8" spans="1:3" x14ac:dyDescent="0.25">
      <c r="A8" s="13">
        <v>14</v>
      </c>
      <c r="B8" s="11">
        <v>4</v>
      </c>
      <c r="C8" s="11">
        <v>14</v>
      </c>
    </row>
    <row r="9" spans="1:3" x14ac:dyDescent="0.25">
      <c r="A9" s="13" t="s">
        <v>67</v>
      </c>
      <c r="B9" s="11">
        <v>26</v>
      </c>
      <c r="C9" s="11">
        <v>14</v>
      </c>
    </row>
    <row r="15" spans="1:3" x14ac:dyDescent="0.25">
      <c r="A15" t="s">
        <v>68</v>
      </c>
    </row>
    <row r="16" spans="1:3" x14ac:dyDescent="0.25">
      <c r="A16" s="11">
        <v>26000</v>
      </c>
    </row>
    <row r="18" spans="1:1" x14ac:dyDescent="0.25">
      <c r="A18" s="18">
        <f>GETPIVOTDATA("Amount_Paid_NGN",$A$15)</f>
        <v>26000</v>
      </c>
    </row>
  </sheetData>
  <pageMargins left="0.7" right="0.7" top="0.75" bottom="0.75" header="0.3" footer="0.3"/>
  <pageSetup orientation="portrait" r:id="rId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C8877C-86A1-4CF9-B865-C86C81FBCCD1}">
  <sheetPr codeName="Sheet8">
    <tabColor rgb="FFFF0000"/>
  </sheetPr>
  <dimension ref="A1:P9"/>
  <sheetViews>
    <sheetView zoomScaleNormal="100" workbookViewId="0">
      <selection activeCell="E9" sqref="E9"/>
    </sheetView>
  </sheetViews>
  <sheetFormatPr defaultRowHeight="15" x14ac:dyDescent="0.25"/>
  <cols>
    <col min="1" max="1" width="16.7109375" bestFit="1" customWidth="1"/>
    <col min="2" max="2" width="11.85546875" style="7" bestFit="1" customWidth="1"/>
    <col min="3" max="3" width="19" style="5" bestFit="1" customWidth="1"/>
    <col min="4" max="4" width="11.28515625" style="5" bestFit="1" customWidth="1"/>
    <col min="5" max="5" width="16.7109375" style="5" bestFit="1" customWidth="1"/>
    <col min="6" max="6" width="20.42578125" style="3" bestFit="1" customWidth="1"/>
    <col min="7" max="7" width="25" style="3" bestFit="1" customWidth="1"/>
    <col min="8" max="8" width="20.85546875" style="3" bestFit="1" customWidth="1"/>
    <col min="9" max="9" width="28.5703125" style="3" bestFit="1" customWidth="1"/>
    <col min="10" max="10" width="18.140625" style="3" bestFit="1" customWidth="1"/>
    <col min="11" max="11" width="16.85546875" style="3" bestFit="1" customWidth="1"/>
    <col min="12" max="12" width="9" style="3" bestFit="1" customWidth="1"/>
    <col min="13" max="13" width="18.7109375" style="5" bestFit="1" customWidth="1"/>
    <col min="14" max="14" width="17" style="5" bestFit="1" customWidth="1"/>
    <col min="15" max="15" width="24.140625" bestFit="1" customWidth="1"/>
    <col min="16" max="16" width="21" bestFit="1" customWidth="1"/>
  </cols>
  <sheetData>
    <row r="1" spans="1:16" x14ac:dyDescent="0.25">
      <c r="A1" s="1" t="s">
        <v>0</v>
      </c>
      <c r="B1" s="6" t="s">
        <v>1</v>
      </c>
      <c r="C1" s="4" t="s">
        <v>2</v>
      </c>
      <c r="D1" s="4" t="s">
        <v>3</v>
      </c>
      <c r="E1" s="4" t="s">
        <v>4</v>
      </c>
      <c r="F1" s="2" t="s">
        <v>5</v>
      </c>
      <c r="G1" s="2" t="s">
        <v>13</v>
      </c>
      <c r="H1" s="2" t="s">
        <v>41</v>
      </c>
      <c r="I1" s="2" t="s">
        <v>14</v>
      </c>
      <c r="J1" s="2" t="s">
        <v>15</v>
      </c>
      <c r="K1" s="2" t="s">
        <v>17</v>
      </c>
      <c r="L1" s="2" t="s">
        <v>16</v>
      </c>
      <c r="M1" s="4" t="s">
        <v>6</v>
      </c>
      <c r="N1" s="4" t="s">
        <v>7</v>
      </c>
      <c r="O1" s="1" t="s">
        <v>8</v>
      </c>
      <c r="P1" s="1" t="s">
        <v>49</v>
      </c>
    </row>
    <row r="2" spans="1:16" x14ac:dyDescent="0.25">
      <c r="A2" t="str">
        <f t="shared" ref="A2:A8" si="0">"T"&amp;TEXT(ROW()-1,"000")</f>
        <v>T001</v>
      </c>
      <c r="B2" s="7">
        <v>46032</v>
      </c>
      <c r="C2" s="5">
        <f>WEEKNUM(TblSavings[[#This Row],[Date]],2)</f>
        <v>2</v>
      </c>
      <c r="D2" s="5" t="str">
        <f>TEXT(TblSavings[[#This Row],[Date]],"mmm")</f>
        <v>Jan</v>
      </c>
      <c r="E2" s="5" t="s">
        <v>12</v>
      </c>
      <c r="F2" s="3">
        <v>5000</v>
      </c>
      <c r="G2" s="3">
        <f>TblSavings[[#This Row],[Amount_Paid_NGN]]/1000</f>
        <v>5</v>
      </c>
      <c r="H2" s="3">
        <f>SUMIFS(TblSavings[Equivalent_Weeks_Paid],TblSavings[Saver_Name],TblSavings[[#This Row],[Saver_Name]],TblSavings[Week_Number],"&lt;="&amp;TblSavings[[#This Row],[Week_Number]])</f>
        <v>5</v>
      </c>
      <c r="I2" s="3">
        <f>TblSavings[[#This Row],[Week_Number]]</f>
        <v>2</v>
      </c>
      <c r="J2" s="3">
        <f>TblSavings[[#This Row],[Actual_Weeks_Paid]]-TblSavings[[#This Row],[Equivalent_Weeks_To_Date]]</f>
        <v>3</v>
      </c>
      <c r="K2" s="3">
        <f>IF(TblSavings[[#This Row],[Weeks_Variance]]&lt;0,ABS(TblSavings[[#This Row],[Weeks_Variance]]),0)</f>
        <v>0</v>
      </c>
      <c r="L2" s="3" t="str">
        <f>IF(TblSavings[[#This Row],[Weeks_Variance]]&gt;0,"Ahead",IF(TblSavings[[#This Row],[Weeks_Variance]]=0,"On Track","Behind"))</f>
        <v>Ahead</v>
      </c>
      <c r="M2" s="5" t="str">
        <f>IF(TblSavings[[#This Row],[Amount_Paid_NGN]]&gt;=BulkMin,"Bulk",IF(TblSavings[[#This Row],[Amount_Paid_NGN]]&gt;=CatcUpMin,"Catch-up","Weekly"))</f>
        <v>Bulk</v>
      </c>
      <c r="N2" s="5" t="s">
        <v>9</v>
      </c>
      <c r="O2" t="s">
        <v>10</v>
      </c>
      <c r="P2" t="s">
        <v>50</v>
      </c>
    </row>
    <row r="3" spans="1:16" x14ac:dyDescent="0.25">
      <c r="A3" t="str">
        <f t="shared" si="0"/>
        <v>T002</v>
      </c>
      <c r="B3" s="7">
        <v>46032</v>
      </c>
      <c r="C3" s="5">
        <f>WEEKNUM(TblSavings[[#This Row],[Date]],2)</f>
        <v>2</v>
      </c>
      <c r="D3" s="5" t="str">
        <f>TEXT(TblSavings[[#This Row],[Date]],"mmm")</f>
        <v>Jan</v>
      </c>
      <c r="E3" s="5" t="s">
        <v>9</v>
      </c>
      <c r="F3" s="3">
        <v>2000</v>
      </c>
      <c r="G3" s="3">
        <f>TblSavings[[#This Row],[Amount_Paid_NGN]]/1000</f>
        <v>2</v>
      </c>
      <c r="H3" s="3">
        <f>SUMIFS(TblSavings[Equivalent_Weeks_Paid],TblSavings[Saver_Name],TblSavings[[#This Row],[Saver_Name]],TblSavings[Week_Number],"&lt;="&amp;TblSavings[[#This Row],[Week_Number]])</f>
        <v>2</v>
      </c>
      <c r="I3" s="3">
        <f>TblSavings[[#This Row],[Week_Number]]</f>
        <v>2</v>
      </c>
      <c r="J3" s="3">
        <f>TblSavings[[#This Row],[Actual_Weeks_Paid]]-TblSavings[[#This Row],[Equivalent_Weeks_To_Date]]</f>
        <v>0</v>
      </c>
      <c r="K3" s="3">
        <f>IF(TblSavings[[#This Row],[Weeks_Variance]]&lt;0,ABS(TblSavings[[#This Row],[Weeks_Variance]]),0)</f>
        <v>0</v>
      </c>
      <c r="L3" s="3" t="str">
        <f>IF(TblSavings[[#This Row],[Weeks_Variance]]&gt;0,"Ahead",IF(TblSavings[[#This Row],[Weeks_Variance]]=0,"On Track","Behind"))</f>
        <v>On Track</v>
      </c>
      <c r="M3" s="5" t="str">
        <f>IF(TblSavings[[#This Row],[Amount_Paid_NGN]]&gt;=BulkMin,"Bulk",IF(TblSavings[[#This Row],[Amount_Paid_NGN]]&gt;=CatcUpMin,"Catch-up","Weekly"))</f>
        <v>Catch-up</v>
      </c>
      <c r="N3" s="5" t="s">
        <v>9</v>
      </c>
      <c r="O3" t="s">
        <v>11</v>
      </c>
      <c r="P3" t="s">
        <v>50</v>
      </c>
    </row>
    <row r="4" spans="1:16" x14ac:dyDescent="0.25">
      <c r="A4" t="str">
        <f t="shared" si="0"/>
        <v>T003</v>
      </c>
      <c r="B4" s="7">
        <v>46035</v>
      </c>
      <c r="C4" s="5">
        <f>WEEKNUM(TblSavings[[#This Row],[Date]],2)</f>
        <v>3</v>
      </c>
      <c r="D4" s="10" t="str">
        <f>TEXT(TblSavings[[#This Row],[Date]],"mmm")</f>
        <v>Jan</v>
      </c>
      <c r="E4" s="5" t="s">
        <v>9</v>
      </c>
      <c r="F4" s="3">
        <v>2000</v>
      </c>
      <c r="G4" s="3">
        <f>TblSavings[[#This Row],[Amount_Paid_NGN]]/1000</f>
        <v>2</v>
      </c>
      <c r="H4" s="3">
        <f>SUMIFS(TblSavings[Equivalent_Weeks_Paid],TblSavings[Saver_Name],TblSavings[[#This Row],[Saver_Name]],TblSavings[Week_Number],"&lt;="&amp;TblSavings[[#This Row],[Week_Number]])</f>
        <v>4</v>
      </c>
      <c r="I4" s="3">
        <f>TblSavings[[#This Row],[Week_Number]]</f>
        <v>3</v>
      </c>
      <c r="J4" s="3">
        <f>TblSavings[[#This Row],[Actual_Weeks_Paid]]-TblSavings[[#This Row],[Equivalent_Weeks_To_Date]]</f>
        <v>1</v>
      </c>
      <c r="K4" s="3">
        <f>IF(TblSavings[[#This Row],[Weeks_Variance]]&lt;0,ABS(TblSavings[[#This Row],[Weeks_Variance]]),0)</f>
        <v>0</v>
      </c>
      <c r="L4" s="3" t="str">
        <f>IF(TblSavings[[#This Row],[Weeks_Variance]]&gt;0,"Ahead",IF(TblSavings[[#This Row],[Weeks_Variance]]=0,"On Track","Behind"))</f>
        <v>Ahead</v>
      </c>
      <c r="M4" s="10" t="str">
        <f>IF(TblSavings[[#This Row],[Amount_Paid_NGN]]&gt;=BulkMin,"Bulk",IF(TblSavings[[#This Row],[Amount_Paid_NGN]]&gt;=CatcUpMin,"Catch-up","Weekly"))</f>
        <v>Catch-up</v>
      </c>
      <c r="N4" s="5" t="s">
        <v>9</v>
      </c>
      <c r="O4" t="s">
        <v>54</v>
      </c>
      <c r="P4" t="s">
        <v>56</v>
      </c>
    </row>
    <row r="5" spans="1:16" x14ac:dyDescent="0.25">
      <c r="A5" t="str">
        <f t="shared" si="0"/>
        <v>T004</v>
      </c>
      <c r="B5" s="7">
        <v>46046</v>
      </c>
      <c r="C5" s="5">
        <f>WEEKNUM(TblSavings[[#This Row],[Date]],2)</f>
        <v>4</v>
      </c>
      <c r="D5" s="10" t="str">
        <f>TEXT(TblSavings[[#This Row],[Date]],"mmm")</f>
        <v>Jan</v>
      </c>
      <c r="E5" s="5" t="s">
        <v>9</v>
      </c>
      <c r="F5" s="3">
        <v>1000</v>
      </c>
      <c r="G5" s="3">
        <f>TblSavings[[#This Row],[Amount_Paid_NGN]]/1000</f>
        <v>1</v>
      </c>
      <c r="H5" s="3">
        <f>SUMIFS(TblSavings[Equivalent_Weeks_Paid],TblSavings[Saver_Name],TblSavings[[#This Row],[Saver_Name]],TblSavings[Week_Number],"&lt;="&amp;TblSavings[[#This Row],[Week_Number]])</f>
        <v>5</v>
      </c>
      <c r="I5" s="3">
        <f>TblSavings[[#This Row],[Week_Number]]</f>
        <v>4</v>
      </c>
      <c r="J5" s="3">
        <f>TblSavings[[#This Row],[Actual_Weeks_Paid]]-TblSavings[[#This Row],[Equivalent_Weeks_To_Date]]</f>
        <v>1</v>
      </c>
      <c r="K5" s="3">
        <f>IF(TblSavings[[#This Row],[Weeks_Variance]]&lt;0,ABS(TblSavings[[#This Row],[Weeks_Variance]]),0)</f>
        <v>0</v>
      </c>
      <c r="L5" s="3" t="str">
        <f>IF(TblSavings[[#This Row],[Weeks_Variance]]&gt;0,"Ahead",IF(TblSavings[[#This Row],[Weeks_Variance]]=0,"On Track","Behind"))</f>
        <v>Ahead</v>
      </c>
      <c r="M5" s="10" t="str">
        <f>IF(TblSavings[[#This Row],[Amount_Paid_NGN]]&gt;=BulkMin,"Bulk",IF(TblSavings[[#This Row],[Amount_Paid_NGN]]&gt;=CatcUpMin,"Catch-up","Weekly"))</f>
        <v>Weekly</v>
      </c>
      <c r="N5" s="5" t="s">
        <v>9</v>
      </c>
      <c r="O5" t="s">
        <v>55</v>
      </c>
      <c r="P5" t="s">
        <v>56</v>
      </c>
    </row>
    <row r="6" spans="1:16" x14ac:dyDescent="0.25">
      <c r="A6" t="str">
        <f t="shared" si="0"/>
        <v>T005</v>
      </c>
      <c r="B6" s="7">
        <v>46050</v>
      </c>
      <c r="C6" s="5">
        <f>WEEKNUM(TblSavings[[#This Row],[Date]],2)</f>
        <v>5</v>
      </c>
      <c r="D6" s="10" t="str">
        <f>TEXT(TblSavings[[#This Row],[Date]],"mmm")</f>
        <v>Jan</v>
      </c>
      <c r="E6" s="5" t="s">
        <v>24</v>
      </c>
      <c r="F6" s="3">
        <v>5000</v>
      </c>
      <c r="G6" s="3">
        <f>TblSavings[[#This Row],[Amount_Paid_NGN]]/1000</f>
        <v>5</v>
      </c>
      <c r="H6" s="3">
        <f>SUMIFS(TblSavings[Equivalent_Weeks_Paid],TblSavings[Saver_Name],TblSavings[[#This Row],[Saver_Name]],TblSavings[Week_Number],"&lt;="&amp;TblSavings[[#This Row],[Week_Number]])</f>
        <v>5</v>
      </c>
      <c r="I6" s="3">
        <f>TblSavings[[#This Row],[Week_Number]]</f>
        <v>5</v>
      </c>
      <c r="J6" s="3">
        <f>TblSavings[[#This Row],[Actual_Weeks_Paid]]-TblSavings[[#This Row],[Equivalent_Weeks_To_Date]]</f>
        <v>0</v>
      </c>
      <c r="K6" s="3">
        <f>IF(TblSavings[[#This Row],[Weeks_Variance]]&lt;0,ABS(TblSavings[[#This Row],[Weeks_Variance]]),0)</f>
        <v>0</v>
      </c>
      <c r="L6" s="3" t="str">
        <f>IF(TblSavings[[#This Row],[Weeks_Variance]]&gt;0,"Ahead",IF(TblSavings[[#This Row],[Weeks_Variance]]=0,"On Track","Behind"))</f>
        <v>On Track</v>
      </c>
      <c r="M6" s="10" t="str">
        <f>IF(TblSavings[[#This Row],[Amount_Paid_NGN]]&gt;=BulkMin,"Bulk",IF(TblSavings[[#This Row],[Amount_Paid_NGN]]&gt;=CatcUpMin,"Catch-up","Weekly"))</f>
        <v>Bulk</v>
      </c>
      <c r="N6" s="5" t="s">
        <v>9</v>
      </c>
      <c r="P6" t="s">
        <v>58</v>
      </c>
    </row>
    <row r="7" spans="1:16" x14ac:dyDescent="0.25">
      <c r="A7" t="str">
        <f t="shared" si="0"/>
        <v>T006</v>
      </c>
      <c r="B7" s="7">
        <v>46052</v>
      </c>
      <c r="C7" s="5">
        <f>WEEKNUM(TblSavings[[#This Row],[Date]],2)</f>
        <v>5</v>
      </c>
      <c r="D7" s="10" t="str">
        <f>TEXT(TblSavings[[#This Row],[Date]],"mmm")</f>
        <v>Jan</v>
      </c>
      <c r="E7" s="5" t="s">
        <v>25</v>
      </c>
      <c r="F7" s="3">
        <v>5000</v>
      </c>
      <c r="G7" s="3">
        <f>TblSavings[[#This Row],[Amount_Paid_NGN]]/1000</f>
        <v>5</v>
      </c>
      <c r="H7" s="3">
        <f>SUMIFS(TblSavings[Equivalent_Weeks_Paid],TblSavings[Saver_Name],TblSavings[[#This Row],[Saver_Name]],TblSavings[Week_Number],"&lt;="&amp;TblSavings[[#This Row],[Week_Number]])</f>
        <v>5</v>
      </c>
      <c r="I7" s="3">
        <f>TblSavings[[#This Row],[Week_Number]]</f>
        <v>5</v>
      </c>
      <c r="J7" s="3">
        <f>TblSavings[[#This Row],[Actual_Weeks_Paid]]-TblSavings[[#This Row],[Equivalent_Weeks_To_Date]]</f>
        <v>0</v>
      </c>
      <c r="K7" s="3">
        <f>IF(TblSavings[[#This Row],[Weeks_Variance]]&lt;0,ABS(TblSavings[[#This Row],[Weeks_Variance]]),0)</f>
        <v>0</v>
      </c>
      <c r="L7" s="3" t="str">
        <f>IF(TblSavings[[#This Row],[Weeks_Variance]]&gt;0,"Ahead",IF(TblSavings[[#This Row],[Weeks_Variance]]=0,"On Track","Behind"))</f>
        <v>On Track</v>
      </c>
      <c r="M7" s="10" t="str">
        <f>IF(TblSavings[[#This Row],[Amount_Paid_NGN]]&gt;=BulkMin,"Bulk",IF(TblSavings[[#This Row],[Amount_Paid_NGN]]&gt;=CatcUpMin,"Catch-up","Weekly"))</f>
        <v>Bulk</v>
      </c>
      <c r="N7" s="5" t="s">
        <v>9</v>
      </c>
      <c r="O7" t="s">
        <v>59</v>
      </c>
      <c r="P7" t="s">
        <v>60</v>
      </c>
    </row>
    <row r="8" spans="1:16" x14ac:dyDescent="0.25">
      <c r="A8" t="str">
        <f t="shared" si="0"/>
        <v>T007</v>
      </c>
      <c r="B8" s="7">
        <v>46052</v>
      </c>
      <c r="C8" s="5">
        <f>WEEKNUM(TblSavings[[#This Row],[Date]],2)</f>
        <v>5</v>
      </c>
      <c r="D8" s="10" t="str">
        <f>TEXT(TblSavings[[#This Row],[Date]],"mmm")</f>
        <v>Jan</v>
      </c>
      <c r="E8" s="5" t="s">
        <v>9</v>
      </c>
      <c r="F8" s="3">
        <v>2000</v>
      </c>
      <c r="G8" s="3">
        <f>TblSavings[[#This Row],[Amount_Paid_NGN]]/1000</f>
        <v>2</v>
      </c>
      <c r="H8" s="3">
        <f>SUMIFS(TblSavings[Equivalent_Weeks_Paid],TblSavings[Saver_Name],TblSavings[[#This Row],[Saver_Name]],TblSavings[Week_Number],"&lt;="&amp;TblSavings[[#This Row],[Week_Number]])</f>
        <v>7</v>
      </c>
      <c r="I8" s="3">
        <f>TblSavings[[#This Row],[Week_Number]]</f>
        <v>5</v>
      </c>
      <c r="J8" s="3">
        <f>TblSavings[[#This Row],[Actual_Weeks_Paid]]-TblSavings[[#This Row],[Equivalent_Weeks_To_Date]]</f>
        <v>2</v>
      </c>
      <c r="K8" s="3">
        <f>IF(TblSavings[[#This Row],[Weeks_Variance]]&lt;0,ABS(TblSavings[[#This Row],[Weeks_Variance]]),0)</f>
        <v>0</v>
      </c>
      <c r="L8" s="3" t="str">
        <f>IF(TblSavings[[#This Row],[Weeks_Variance]]&gt;0,"Ahead",IF(TblSavings[[#This Row],[Weeks_Variance]]=0,"On Track","Behind"))</f>
        <v>Ahead</v>
      </c>
      <c r="M8" s="10" t="str">
        <f>IF(TblSavings[[#This Row],[Amount_Paid_NGN]]&gt;=BulkMin,"Bulk",IF(TblSavings[[#This Row],[Amount_Paid_NGN]]&gt;=CatcUpMin,"Catch-up","Weekly"))</f>
        <v>Catch-up</v>
      </c>
      <c r="N8" s="5" t="s">
        <v>9</v>
      </c>
      <c r="O8" t="s">
        <v>61</v>
      </c>
      <c r="P8" t="s">
        <v>60</v>
      </c>
    </row>
    <row r="9" spans="1:16" x14ac:dyDescent="0.25">
      <c r="A9" t="str">
        <f>"T"&amp;TEXT(ROW()-1,"000")</f>
        <v>T008</v>
      </c>
      <c r="B9" s="7">
        <v>46111</v>
      </c>
      <c r="C9" s="5">
        <f>WEEKNUM(TblSavings[[#This Row],[Date]],2)</f>
        <v>14</v>
      </c>
      <c r="D9" s="10" t="str">
        <f>TEXT(TblSavings[[#This Row],[Date]],"mmm")</f>
        <v>Mar</v>
      </c>
      <c r="E9" s="5" t="s">
        <v>24</v>
      </c>
      <c r="F9" s="3">
        <v>4000</v>
      </c>
      <c r="G9" s="3">
        <f>TblSavings[[#This Row],[Amount_Paid_NGN]]/1000</f>
        <v>4</v>
      </c>
      <c r="H9" s="3">
        <f>SUMIFS(TblSavings[Equivalent_Weeks_Paid],TblSavings[Saver_Name],TblSavings[[#This Row],[Saver_Name]],TblSavings[Week_Number],"&lt;="&amp;TblSavings[[#This Row],[Week_Number]])</f>
        <v>9</v>
      </c>
      <c r="I9" s="3">
        <f>TblSavings[[#This Row],[Week_Number]]</f>
        <v>14</v>
      </c>
      <c r="J9" s="3">
        <f>TblSavings[[#This Row],[Actual_Weeks_Paid]]-TblSavings[[#This Row],[Equivalent_Weeks_To_Date]]</f>
        <v>-5</v>
      </c>
      <c r="K9" s="3">
        <f>IF(TblSavings[[#This Row],[Weeks_Variance]]&lt;0,ABS(TblSavings[[#This Row],[Weeks_Variance]]),0)</f>
        <v>5</v>
      </c>
      <c r="L9" s="3" t="str">
        <f>IF(TblSavings[[#This Row],[Weeks_Variance]]&gt;0,"Ahead",IF(TblSavings[[#This Row],[Weeks_Variance]]=0,"On Track","Behind"))</f>
        <v>Behind</v>
      </c>
      <c r="M9" s="10" t="str">
        <f>IF(TblSavings[[#This Row],[Amount_Paid_NGN]]&gt;=BulkMin,"Bulk",IF(TblSavings[[#This Row],[Amount_Paid_NGN]]&gt;=CatcUpMin,"Catch-up","Weekly"))</f>
        <v>Bulk</v>
      </c>
      <c r="N9" s="5" t="s">
        <v>9</v>
      </c>
      <c r="O9" t="s">
        <v>89</v>
      </c>
    </row>
  </sheetData>
  <conditionalFormatting sqref="L1:L1048576">
    <cfRule type="containsText" dxfId="43" priority="1" operator="containsText" text="Behind">
      <formula>NOT(ISERROR(SEARCH("Behind",L1)))</formula>
    </cfRule>
    <cfRule type="containsText" dxfId="42" priority="2" operator="containsText" text="On Track">
      <formula>NOT(ISERROR(SEARCH("On Track",L1)))</formula>
    </cfRule>
    <cfRule type="containsText" dxfId="41" priority="3" operator="containsText" text="Ahead">
      <formula>NOT(ISERROR(SEARCH("Ahead",L1)))</formula>
    </cfRule>
    <cfRule type="colorScale" priority="4">
      <colorScale>
        <cfvo type="min"/>
        <cfvo type="percentile" val="50"/>
        <cfvo type="max"/>
        <color rgb="FFF8696B"/>
        <color rgb="FFFFEB84"/>
        <color rgb="FF63BE7B"/>
      </colorScale>
    </cfRule>
  </conditionalFormatting>
  <dataValidations count="1">
    <dataValidation type="list" allowBlank="1" showInputMessage="1" showErrorMessage="1" sqref="E1:E1048576" xr:uid="{AAA3935F-50BB-466D-BFB4-2239DCADEE48}">
      <formula1>SaversList</formula1>
    </dataValidation>
  </dataValidations>
  <pageMargins left="0.7" right="0.7" top="0.75" bottom="0.75" header="0.3" footer="0.3"/>
  <pageSetup orientation="portrait" r:id="rId1"/>
  <tableParts count="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D48E617-BBE1-4D52-93A0-DCE95E4BE0F0}">
  <sheetPr codeName="Sheet9">
    <tabColor theme="8" tint="-0.249977111117893"/>
  </sheetPr>
  <dimension ref="A1:F6"/>
  <sheetViews>
    <sheetView workbookViewId="0">
      <selection activeCell="H5" sqref="H5"/>
    </sheetView>
  </sheetViews>
  <sheetFormatPr defaultRowHeight="15" x14ac:dyDescent="0.25"/>
  <cols>
    <col min="1" max="2" width="14.28515625" customWidth="1"/>
    <col min="3" max="3" width="20.42578125" customWidth="1"/>
    <col min="4" max="4" width="26.7109375" customWidth="1"/>
    <col min="5" max="5" width="17.85546875" customWidth="1"/>
  </cols>
  <sheetData>
    <row r="1" spans="1:6" x14ac:dyDescent="0.25">
      <c r="A1" t="s">
        <v>4</v>
      </c>
      <c r="B1" t="s">
        <v>63</v>
      </c>
      <c r="C1" t="s">
        <v>64</v>
      </c>
      <c r="D1" t="s">
        <v>65</v>
      </c>
      <c r="E1" t="s">
        <v>15</v>
      </c>
      <c r="F1" t="s">
        <v>16</v>
      </c>
    </row>
    <row r="2" spans="1:6" x14ac:dyDescent="0.25">
      <c r="A2" t="s">
        <v>12</v>
      </c>
      <c r="B2">
        <f>_xlfn.MAXIFS(TblSavings[Week_Number],TblSavings[Saver_Name],Table4[[#This Row],[Saver_Name]])</f>
        <v>2</v>
      </c>
      <c r="C2" cm="1">
        <f t="array" ref="C2">_xlfn.XLOOKUP(Table4[[#This Row],[Saver_Name]]&amp;Table4[[#This Row],[Latest_week]],TblSavings[Saver_Name]&amp;TblSavings[Week_Number],TblSavings[Actual_Weeks_Paid],"")</f>
        <v>5</v>
      </c>
      <c r="D2" cm="1">
        <f t="array" ref="D2">_xlfn.XLOOKUP(Table4[[#This Row],[Saver_Name]]&amp;Table4[[#This Row],[Latest_week]],TblSavings[Saver_Name]&amp;TblSavings[Week_Number],TblSavings[Equivalent_Weeks_To_Date],"")</f>
        <v>2</v>
      </c>
      <c r="E2" cm="1">
        <f t="array" ref="E2">_xlfn.XLOOKUP(Table4[[#This Row],[Saver_Name]]&amp;Table4[[#This Row],[Latest_week]],TblSavings[Saver_Name]&amp;TblSavings[Week_Number],TblSavings[Weeks_Variance],"")</f>
        <v>3</v>
      </c>
      <c r="F2" t="str" cm="1">
        <f t="array" ref="F2">_xlfn.XLOOKUP(Table4[[#This Row],[Saver_Name]]&amp;Table4[[#This Row],[Latest_week]],TblSavings[Saver_Name]&amp;TblSavings[Week_Number],TblSavings[Status],"")</f>
        <v>Ahead</v>
      </c>
    </row>
    <row r="3" spans="1:6" x14ac:dyDescent="0.25">
      <c r="A3" t="s">
        <v>9</v>
      </c>
      <c r="B3">
        <f>_xlfn.MAXIFS(TblSavings[Week_Number],TblSavings[Saver_Name],Table4[[#This Row],[Saver_Name]])</f>
        <v>5</v>
      </c>
      <c r="C3" cm="1">
        <f t="array" ref="C3">_xlfn.XLOOKUP(Table4[[#This Row],[Saver_Name]]&amp;Table4[[#This Row],[Latest_week]],TblSavings[Saver_Name]&amp;TblSavings[Week_Number],TblSavings[Actual_Weeks_Paid],"")</f>
        <v>7</v>
      </c>
      <c r="D3" cm="1">
        <f t="array" ref="D3">_xlfn.XLOOKUP(Table4[[#This Row],[Saver_Name]]&amp;Table4[[#This Row],[Latest_week]],TblSavings[Saver_Name]&amp;TblSavings[Week_Number],TblSavings[Equivalent_Weeks_To_Date],"")</f>
        <v>5</v>
      </c>
      <c r="E3" cm="1">
        <f t="array" ref="E3">_xlfn.XLOOKUP(Table4[[#This Row],[Saver_Name]]&amp;Table4[[#This Row],[Latest_week]],TblSavings[Saver_Name]&amp;TblSavings[Week_Number],TblSavings[Weeks_Variance],"")</f>
        <v>2</v>
      </c>
      <c r="F3" t="str" cm="1">
        <f t="array" ref="F3">_xlfn.XLOOKUP(Table4[[#This Row],[Saver_Name]]&amp;Table4[[#This Row],[Latest_week]],TblSavings[Saver_Name]&amp;TblSavings[Week_Number],TblSavings[Status],"")</f>
        <v>Ahead</v>
      </c>
    </row>
    <row r="4" spans="1:6" x14ac:dyDescent="0.25">
      <c r="A4" t="s">
        <v>25</v>
      </c>
      <c r="B4">
        <f>_xlfn.MAXIFS(TblSavings[Week_Number],TblSavings[Saver_Name],Table4[[#This Row],[Saver_Name]])</f>
        <v>5</v>
      </c>
      <c r="C4" cm="1">
        <f t="array" ref="C4">_xlfn.XLOOKUP(Table4[[#This Row],[Saver_Name]]&amp;Table4[[#This Row],[Latest_week]],TblSavings[Saver_Name]&amp;TblSavings[Week_Number],TblSavings[Actual_Weeks_Paid],"")</f>
        <v>5</v>
      </c>
      <c r="D4" cm="1">
        <f t="array" ref="D4">_xlfn.XLOOKUP(Table4[[#This Row],[Saver_Name]]&amp;Table4[[#This Row],[Latest_week]],TblSavings[Saver_Name]&amp;TblSavings[Week_Number],TblSavings[Equivalent_Weeks_To_Date],"")</f>
        <v>5</v>
      </c>
      <c r="E4" cm="1">
        <f t="array" ref="E4">_xlfn.XLOOKUP(Table4[[#This Row],[Saver_Name]]&amp;Table4[[#This Row],[Latest_week]],TblSavings[Saver_Name]&amp;TblSavings[Week_Number],TblSavings[Weeks_Variance],"")</f>
        <v>0</v>
      </c>
      <c r="F4" t="str" cm="1">
        <f t="array" ref="F4">_xlfn.XLOOKUP(Table4[[#This Row],[Saver_Name]]&amp;Table4[[#This Row],[Latest_week]],TblSavings[Saver_Name]&amp;TblSavings[Week_Number],TblSavings[Status],"")</f>
        <v>On Track</v>
      </c>
    </row>
    <row r="5" spans="1:6" x14ac:dyDescent="0.25">
      <c r="A5" t="s">
        <v>24</v>
      </c>
      <c r="B5">
        <f>_xlfn.MAXIFS(TblSavings[Week_Number],TblSavings[Saver_Name],Table4[[#This Row],[Saver_Name]])</f>
        <v>14</v>
      </c>
      <c r="C5" cm="1">
        <f t="array" ref="C5">_xlfn.XLOOKUP(Table4[[#This Row],[Saver_Name]]&amp;Table4[[#This Row],[Latest_week]],TblSavings[Saver_Name]&amp;TblSavings[Week_Number],TblSavings[Actual_Weeks_Paid],"")</f>
        <v>9</v>
      </c>
      <c r="D5" cm="1">
        <f t="array" ref="D5">_xlfn.XLOOKUP(Table4[[#This Row],[Saver_Name]]&amp;Table4[[#This Row],[Latest_week]],TblSavings[Saver_Name]&amp;TblSavings[Week_Number],TblSavings[Equivalent_Weeks_To_Date],"")</f>
        <v>14</v>
      </c>
      <c r="E5" cm="1">
        <f t="array" ref="E5">_xlfn.XLOOKUP(Table4[[#This Row],[Saver_Name]]&amp;Table4[[#This Row],[Latest_week]],TblSavings[Saver_Name]&amp;TblSavings[Week_Number],TblSavings[Weeks_Variance],"")</f>
        <v>-5</v>
      </c>
      <c r="F5" t="str" cm="1">
        <f t="array" ref="F5">_xlfn.XLOOKUP(Table4[[#This Row],[Saver_Name]]&amp;Table4[[#This Row],[Latest_week]],TblSavings[Saver_Name]&amp;TblSavings[Week_Number],TblSavings[Status],"")</f>
        <v>Behind</v>
      </c>
    </row>
    <row r="6" spans="1:6" x14ac:dyDescent="0.25">
      <c r="A6" t="s">
        <v>26</v>
      </c>
      <c r="B6">
        <f>_xlfn.MAXIFS(TblSavings[Week_Number],TblSavings[Saver_Name],Table4[[#This Row],[Saver_Name]])</f>
        <v>0</v>
      </c>
      <c r="C6" t="str" cm="1">
        <f t="array" ref="C6">_xlfn.XLOOKUP(Table4[[#This Row],[Saver_Name]]&amp;Table4[[#This Row],[Latest_week]],TblSavings[Saver_Name]&amp;TblSavings[Week_Number],TblSavings[Actual_Weeks_Paid],"")</f>
        <v/>
      </c>
      <c r="D6" t="str" cm="1">
        <f t="array" ref="D6">_xlfn.XLOOKUP(Table4[[#This Row],[Saver_Name]]&amp;Table4[[#This Row],[Latest_week]],TblSavings[Saver_Name]&amp;TblSavings[Week_Number],TblSavings[Equivalent_Weeks_To_Date],"")</f>
        <v/>
      </c>
      <c r="E6" t="str" cm="1">
        <f t="array" ref="E6">_xlfn.XLOOKUP(Table4[[#This Row],[Saver_Name]]&amp;Table4[[#This Row],[Latest_week]],TblSavings[Saver_Name]&amp;TblSavings[Week_Number],TblSavings[Weeks_Variance],"")</f>
        <v/>
      </c>
      <c r="F6" t="str" cm="1">
        <f t="array" ref="F6">_xlfn.XLOOKUP(Table4[[#This Row],[Saver_Name]]&amp;Table4[[#This Row],[Latest_week]],TblSavings[Saver_Name]&amp;TblSavings[Week_Number],TblSavings[Status],"")</f>
        <v/>
      </c>
    </row>
  </sheetData>
  <conditionalFormatting sqref="F1:F1048576">
    <cfRule type="containsText" dxfId="26" priority="1" operator="containsText" text="On Track">
      <formula>NOT(ISERROR(SEARCH("On Track",F1)))</formula>
    </cfRule>
    <cfRule type="containsText" dxfId="25" priority="2" operator="containsText" text="Ontrack">
      <formula>NOT(ISERROR(SEARCH("Ontrack",F1)))</formula>
    </cfRule>
    <cfRule type="containsText" dxfId="24" priority="3" operator="containsText" text="Behind">
      <formula>NOT(ISERROR(SEARCH("Behind",F1)))</formula>
    </cfRule>
    <cfRule type="containsText" dxfId="23" priority="4" operator="containsText" text="Ahead">
      <formula>NOT(ISERROR(SEARCH("Ahead",F1)))</formula>
    </cfRule>
  </conditionalFormatting>
  <pageMargins left="0.7" right="0.7" top="0.75" bottom="0.75" header="0.3" footer="0.3"/>
  <tableParts count="1">
    <tablePart r:id="rId1"/>
  </tablePart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5570E-4E39-4825-8DC2-53D097BEF1E9}">
  <sheetPr codeName="Sheet10">
    <tabColor theme="5" tint="-0.249977111117893"/>
  </sheetPr>
  <dimension ref="A1:K6"/>
  <sheetViews>
    <sheetView workbookViewId="0">
      <selection activeCell="B10" sqref="B10"/>
    </sheetView>
  </sheetViews>
  <sheetFormatPr defaultRowHeight="15" x14ac:dyDescent="0.25"/>
  <cols>
    <col min="1" max="1" width="11.140625" bestFit="1" customWidth="1"/>
    <col min="2" max="2" width="14.42578125" bestFit="1" customWidth="1"/>
    <col min="3" max="3" width="26.140625" bestFit="1" customWidth="1"/>
    <col min="4" max="4" width="10.42578125" style="3" bestFit="1" customWidth="1"/>
    <col min="5" max="5" width="12.7109375" bestFit="1" customWidth="1"/>
    <col min="6" max="6" width="9" bestFit="1" customWidth="1"/>
    <col min="7" max="7" width="21" customWidth="1"/>
    <col min="8" max="8" width="8.140625" bestFit="1" customWidth="1"/>
    <col min="9" max="9" width="25" bestFit="1" customWidth="1"/>
    <col min="10" max="10" width="21.85546875" bestFit="1" customWidth="1"/>
    <col min="11" max="11" width="18.42578125" bestFit="1" customWidth="1"/>
  </cols>
  <sheetData>
    <row r="1" spans="1:11" x14ac:dyDescent="0.25">
      <c r="A1" t="s">
        <v>18</v>
      </c>
      <c r="B1" t="s">
        <v>4</v>
      </c>
      <c r="C1" t="s">
        <v>27</v>
      </c>
      <c r="D1" s="3" t="s">
        <v>19</v>
      </c>
      <c r="E1" t="s">
        <v>20</v>
      </c>
      <c r="F1" t="s">
        <v>16</v>
      </c>
      <c r="G1" t="s">
        <v>8</v>
      </c>
      <c r="H1" t="s">
        <v>21</v>
      </c>
      <c r="I1" t="s">
        <v>28</v>
      </c>
      <c r="J1" t="s">
        <v>22</v>
      </c>
      <c r="K1" t="s">
        <v>23</v>
      </c>
    </row>
    <row r="2" spans="1:11" x14ac:dyDescent="0.25">
      <c r="A2" t="str" cm="1">
        <f t="array" ref="A2">"S"&amp;TEXT(ROW()-ROW(tblSavers[#Headers]),"000")</f>
        <v>S001</v>
      </c>
      <c r="B2" t="s">
        <v>12</v>
      </c>
      <c r="C2" t="s">
        <v>29</v>
      </c>
      <c r="E2" t="s">
        <v>30</v>
      </c>
      <c r="F2" t="s">
        <v>31</v>
      </c>
      <c r="H2" t="s">
        <v>32</v>
      </c>
      <c r="I2">
        <v>52</v>
      </c>
    </row>
    <row r="3" spans="1:11" x14ac:dyDescent="0.25">
      <c r="A3" t="str" cm="1">
        <f t="array" ref="A3">"S"&amp;TEXT(ROW()-ROW(tblSavers[#Headers]),"000")</f>
        <v>S002</v>
      </c>
      <c r="B3" t="s">
        <v>9</v>
      </c>
      <c r="C3" t="s">
        <v>33</v>
      </c>
      <c r="E3" t="s">
        <v>30</v>
      </c>
      <c r="F3" t="s">
        <v>31</v>
      </c>
      <c r="H3" t="s">
        <v>32</v>
      </c>
      <c r="I3">
        <v>52</v>
      </c>
    </row>
    <row r="4" spans="1:11" x14ac:dyDescent="0.25">
      <c r="A4" t="str" cm="1">
        <f t="array" ref="A4">"S"&amp;TEXT(ROW()-ROW(tblSavers[#Headers]),"000")</f>
        <v>S003</v>
      </c>
      <c r="B4" t="s">
        <v>25</v>
      </c>
      <c r="C4" t="s">
        <v>29</v>
      </c>
      <c r="E4" t="s">
        <v>30</v>
      </c>
      <c r="F4" t="s">
        <v>31</v>
      </c>
      <c r="H4" t="s">
        <v>32</v>
      </c>
      <c r="I4">
        <v>52</v>
      </c>
    </row>
    <row r="5" spans="1:11" x14ac:dyDescent="0.25">
      <c r="A5" t="str" cm="1">
        <f t="array" ref="A5">"S"&amp;TEXT(ROW()-ROW(tblSavers[#Headers]),"000")</f>
        <v>S004</v>
      </c>
      <c r="B5" t="s">
        <v>24</v>
      </c>
      <c r="C5" t="s">
        <v>29</v>
      </c>
      <c r="E5" t="s">
        <v>30</v>
      </c>
      <c r="F5" t="s">
        <v>31</v>
      </c>
      <c r="H5" t="s">
        <v>32</v>
      </c>
      <c r="I5">
        <v>52</v>
      </c>
    </row>
    <row r="6" spans="1:11" x14ac:dyDescent="0.25">
      <c r="A6" t="str" cm="1">
        <f t="array" ref="A6">"S"&amp;TEXT(ROW()-ROW(tblSavers[#Headers]),"000")</f>
        <v>S005</v>
      </c>
      <c r="B6" t="s">
        <v>26</v>
      </c>
      <c r="E6" t="s">
        <v>30</v>
      </c>
      <c r="F6" t="s">
        <v>31</v>
      </c>
      <c r="H6" t="s">
        <v>32</v>
      </c>
      <c r="I6">
        <v>52</v>
      </c>
    </row>
  </sheetData>
  <dataValidations count="1">
    <dataValidation type="list" allowBlank="1" showInputMessage="1" showErrorMessage="1" sqref="C1:C1048576" xr:uid="{5A3B67C0-7CEA-4C82-8EF7-E7BAF30DE6E1}">
      <formula1>"Weekly,Catch-up,Bulk"</formula1>
    </dataValidation>
  </dataValidations>
  <pageMargins left="0.7" right="0.7" top="0.75" bottom="0.75" header="0.3" footer="0.3"/>
  <tableParts count="1">
    <tablePart r:id="rId1"/>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233B64-4F8E-4605-B95F-D66B3178BCE9}">
  <sheetPr codeName="Sheet11">
    <tabColor theme="3" tint="0.499984740745262"/>
  </sheetPr>
  <dimension ref="A1:B6"/>
  <sheetViews>
    <sheetView workbookViewId="0">
      <selection activeCell="C7" sqref="C7"/>
    </sheetView>
  </sheetViews>
  <sheetFormatPr defaultRowHeight="15" x14ac:dyDescent="0.25"/>
  <cols>
    <col min="1" max="1" width="15.28515625" bestFit="1" customWidth="1"/>
    <col min="2" max="2" width="6" bestFit="1" customWidth="1"/>
  </cols>
  <sheetData>
    <row r="1" spans="1:2" x14ac:dyDescent="0.25">
      <c r="A1" t="s">
        <v>34</v>
      </c>
      <c r="B1" t="s">
        <v>35</v>
      </c>
    </row>
    <row r="2" spans="1:2" x14ac:dyDescent="0.25">
      <c r="A2" t="s">
        <v>36</v>
      </c>
      <c r="B2">
        <v>1000</v>
      </c>
    </row>
    <row r="3" spans="1:2" x14ac:dyDescent="0.25">
      <c r="A3" t="s">
        <v>37</v>
      </c>
      <c r="B3">
        <v>52</v>
      </c>
    </row>
    <row r="4" spans="1:2" x14ac:dyDescent="0.25">
      <c r="A4" t="s">
        <v>38</v>
      </c>
      <c r="B4">
        <v>2000</v>
      </c>
    </row>
    <row r="5" spans="1:2" x14ac:dyDescent="0.25">
      <c r="A5" t="s">
        <v>39</v>
      </c>
      <c r="B5">
        <v>3000</v>
      </c>
    </row>
    <row r="6" spans="1:2" x14ac:dyDescent="0.25">
      <c r="A6" t="s">
        <v>40</v>
      </c>
      <c r="B6">
        <v>4000</v>
      </c>
    </row>
  </sheetData>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6EB0A6-1F91-49C6-93DD-2BFBEB65340A}">
  <sheetPr codeName="Sheet12"/>
  <dimension ref="A3:A4"/>
  <sheetViews>
    <sheetView workbookViewId="0">
      <selection activeCell="A4" sqref="A4"/>
    </sheetView>
  </sheetViews>
  <sheetFormatPr defaultRowHeight="15" x14ac:dyDescent="0.25"/>
  <cols>
    <col min="1" max="1" width="19.7109375" bestFit="1" customWidth="1"/>
  </cols>
  <sheetData>
    <row r="3" spans="1:1" x14ac:dyDescent="0.25">
      <c r="A3" t="s">
        <v>79</v>
      </c>
    </row>
    <row r="4" spans="1:1" x14ac:dyDescent="0.25">
      <c r="A4" s="11">
        <v>14.73</v>
      </c>
    </row>
  </sheetData>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CCED5EE-C02D-49BB-BA3E-9D018A7D1FD0}">
  <sheetPr codeName="Sheet13"/>
  <dimension ref="A3:B4"/>
  <sheetViews>
    <sheetView workbookViewId="0">
      <selection activeCell="B4" sqref="B4"/>
    </sheetView>
  </sheetViews>
  <sheetFormatPr defaultRowHeight="15" x14ac:dyDescent="0.25"/>
  <cols>
    <col min="1" max="1" width="15.7109375" bestFit="1" customWidth="1"/>
    <col min="2" max="2" width="22" bestFit="1" customWidth="1"/>
  </cols>
  <sheetData>
    <row r="3" spans="1:2" x14ac:dyDescent="0.25">
      <c r="A3" t="s">
        <v>82</v>
      </c>
      <c r="B3" t="s">
        <v>83</v>
      </c>
    </row>
    <row r="4" spans="1:2" x14ac:dyDescent="0.25">
      <c r="A4" s="11">
        <v>21974.25</v>
      </c>
      <c r="B4" s="11">
        <v>25.75</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C5F250-7E9B-471B-9F0C-E472DFDF19A6}">
  <sheetPr codeName="Sheet14"/>
  <dimension ref="A3:B9"/>
  <sheetViews>
    <sheetView workbookViewId="0">
      <selection activeCell="A4" sqref="A4"/>
    </sheetView>
  </sheetViews>
  <sheetFormatPr defaultRowHeight="15" x14ac:dyDescent="0.25"/>
  <cols>
    <col min="1" max="1" width="15.140625" bestFit="1" customWidth="1"/>
    <col min="2" max="2" width="20.85546875" bestFit="1" customWidth="1"/>
  </cols>
  <sheetData>
    <row r="3" spans="1:2" x14ac:dyDescent="0.25">
      <c r="A3" s="12" t="s">
        <v>66</v>
      </c>
      <c r="B3" t="s">
        <v>84</v>
      </c>
    </row>
    <row r="4" spans="1:2" x14ac:dyDescent="0.25">
      <c r="A4" s="13" t="s">
        <v>81</v>
      </c>
      <c r="B4" s="11">
        <v>1492.5</v>
      </c>
    </row>
    <row r="5" spans="1:2" x14ac:dyDescent="0.25">
      <c r="A5" s="14">
        <v>46033</v>
      </c>
      <c r="B5" s="11">
        <v>1485</v>
      </c>
    </row>
    <row r="6" spans="1:2" x14ac:dyDescent="0.25">
      <c r="A6" s="14">
        <v>46046</v>
      </c>
      <c r="B6" s="11">
        <v>1495</v>
      </c>
    </row>
    <row r="7" spans="1:2" x14ac:dyDescent="0.25">
      <c r="A7" s="14">
        <v>46050</v>
      </c>
      <c r="B7" s="11">
        <v>1495</v>
      </c>
    </row>
    <row r="8" spans="1:2" x14ac:dyDescent="0.25">
      <c r="A8" s="14">
        <v>46052</v>
      </c>
      <c r="B8" s="11">
        <v>1495</v>
      </c>
    </row>
    <row r="9" spans="1:2" x14ac:dyDescent="0.25">
      <c r="A9" s="13" t="s">
        <v>67</v>
      </c>
      <c r="B9" s="11">
        <v>1492.5</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9FA5EFC-3D1F-4DAC-A245-0EA431BB09F5}">
  <sheetPr codeName="Sheet15">
    <tabColor theme="5" tint="-0.499984740745262"/>
  </sheetPr>
  <dimension ref="A1:E2"/>
  <sheetViews>
    <sheetView showGridLines="0" workbookViewId="0">
      <selection activeCell="B2" sqref="B2"/>
    </sheetView>
  </sheetViews>
  <sheetFormatPr defaultRowHeight="15" x14ac:dyDescent="0.25"/>
  <cols>
    <col min="1" max="1" width="4.85546875" bestFit="1" customWidth="1"/>
    <col min="2" max="2" width="16.140625" bestFit="1" customWidth="1"/>
    <col min="3" max="3" width="15.85546875" bestFit="1" customWidth="1"/>
    <col min="4" max="4" width="21.140625" bestFit="1" customWidth="1"/>
    <col min="5" max="5" width="23.42578125" bestFit="1" customWidth="1"/>
  </cols>
  <sheetData>
    <row r="1" spans="1:5" x14ac:dyDescent="0.25">
      <c r="A1" t="s">
        <v>85</v>
      </c>
      <c r="B1" s="1">
        <v>1</v>
      </c>
      <c r="C1" s="1" t="s">
        <v>82</v>
      </c>
      <c r="D1" s="1" t="s">
        <v>86</v>
      </c>
      <c r="E1" s="1" t="s">
        <v>87</v>
      </c>
    </row>
    <row r="2" spans="1:5" ht="21" x14ac:dyDescent="0.35">
      <c r="B2" s="15">
        <f>SUM(tblDollar[USD_Amount])</f>
        <v>14.73</v>
      </c>
      <c r="C2" s="16">
        <f>SUM(tblDollar[Naira_Used])</f>
        <v>21974.25</v>
      </c>
      <c r="D2" s="16" cm="1">
        <f t="array" ref="D2">SUM(tblDollar[Naira_Used]/SUM(tblDollar[USD_Amount]))</f>
        <v>1491.8024439918534</v>
      </c>
      <c r="E2" s="17" cm="1">
        <f t="array" ref="E2">_xlfn.XLOOKUP(TRUE, tblDollar[Naira_Rollover]&lt;&gt;"",tblDollar[Cummulative_Rollover],"", 0, -1)</f>
        <v>25.75</v>
      </c>
    </row>
  </sheetData>
  <pageMargins left="0.7" right="0.7" top="0.75" bottom="0.75" header="0.3" footer="0.3"/>
  <pageSetup orientation="portrait" r:id="rId1"/>
  <drawing r:id="rId2"/>
  <extLst>
    <ext xmlns:x14="http://schemas.microsoft.com/office/spreadsheetml/2009/9/main" uri="{A8765BA9-456A-4dab-B4F3-ACF838C121DE}">
      <x14:slicerList>
        <x14:slicer r:id="rId3"/>
      </x14:slicerList>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07CA575-6869-4559-91D8-F128A9D84F15}">
  <sheetPr codeName="Sheet16"/>
  <dimension ref="A3:B5"/>
  <sheetViews>
    <sheetView workbookViewId="0">
      <selection activeCell="B4" sqref="B4"/>
    </sheetView>
  </sheetViews>
  <sheetFormatPr defaultRowHeight="15" x14ac:dyDescent="0.25"/>
  <cols>
    <col min="1" max="1" width="13.42578125" bestFit="1" customWidth="1"/>
    <col min="2" max="2" width="27.28515625" bestFit="1" customWidth="1"/>
  </cols>
  <sheetData>
    <row r="3" spans="1:2" x14ac:dyDescent="0.25">
      <c r="A3" s="12" t="s">
        <v>66</v>
      </c>
      <c r="B3" t="s">
        <v>80</v>
      </c>
    </row>
    <row r="4" spans="1:2" x14ac:dyDescent="0.25">
      <c r="A4" s="13" t="s">
        <v>81</v>
      </c>
      <c r="B4" s="11">
        <v>4</v>
      </c>
    </row>
    <row r="5" spans="1:2" x14ac:dyDescent="0.25">
      <c r="A5" s="13" t="s">
        <v>67</v>
      </c>
      <c r="B5" s="11">
        <v>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621B7-0AC9-4536-BEFA-91C2B3D64665}">
  <sheetPr codeName="Sheet17">
    <tabColor rgb="FF00B050"/>
  </sheetPr>
  <dimension ref="A1:L5"/>
  <sheetViews>
    <sheetView topLeftCell="B1" zoomScaleNormal="100" workbookViewId="0">
      <selection activeCell="C5" sqref="C5"/>
    </sheetView>
  </sheetViews>
  <sheetFormatPr defaultRowHeight="15" x14ac:dyDescent="0.25"/>
  <cols>
    <col min="1" max="1" width="21" bestFit="1" customWidth="1"/>
    <col min="2" max="2" width="16.85546875" bestFit="1" customWidth="1"/>
    <col min="3" max="3" width="16.85546875" customWidth="1"/>
    <col min="4" max="4" width="17" bestFit="1" customWidth="1"/>
    <col min="5" max="5" width="16" bestFit="1" customWidth="1"/>
    <col min="6" max="6" width="17.140625" bestFit="1" customWidth="1"/>
    <col min="7" max="7" width="15" bestFit="1" customWidth="1"/>
    <col min="8" max="8" width="13.42578125" bestFit="1" customWidth="1"/>
    <col min="9" max="9" width="16.5703125" bestFit="1" customWidth="1"/>
    <col min="10" max="10" width="24.28515625" bestFit="1" customWidth="1"/>
    <col min="11" max="11" width="14.85546875" bestFit="1" customWidth="1"/>
    <col min="12" max="12" width="23.42578125" bestFit="1" customWidth="1"/>
  </cols>
  <sheetData>
    <row r="1" spans="1:12" x14ac:dyDescent="0.25">
      <c r="A1" t="s">
        <v>49</v>
      </c>
      <c r="B1" t="s">
        <v>51</v>
      </c>
      <c r="C1" t="s">
        <v>3</v>
      </c>
      <c r="D1" t="s">
        <v>43</v>
      </c>
      <c r="E1" t="s">
        <v>42</v>
      </c>
      <c r="F1" t="s">
        <v>53</v>
      </c>
      <c r="G1" t="s">
        <v>44</v>
      </c>
      <c r="H1" t="s">
        <v>45</v>
      </c>
      <c r="I1" t="s">
        <v>46</v>
      </c>
      <c r="J1" t="s">
        <v>52</v>
      </c>
      <c r="K1" t="s">
        <v>47</v>
      </c>
      <c r="L1" t="s">
        <v>8</v>
      </c>
    </row>
    <row r="2" spans="1:12" x14ac:dyDescent="0.25">
      <c r="A2" t="str" cm="1">
        <f t="array" ref="A2">"D"&amp;TEXT(ROW()-ROW(tblDollar[#Headers]),"000")</f>
        <v>D001</v>
      </c>
      <c r="B2" s="8">
        <v>46033</v>
      </c>
      <c r="C2" s="8" t="str">
        <f>TEXT(tblDollar[[#This Row],[Purchase_Date]],"mmm")</f>
        <v>Jan</v>
      </c>
      <c r="D2">
        <v>1485</v>
      </c>
      <c r="E2">
        <f>SUMIFS(TblSavings[Amount_Paid_NGN],TblSavings[Dollar_Purchase_ID],tblDollar[[#This Row],[Dollar_Purchase_ID]])</f>
        <v>7000</v>
      </c>
      <c r="F2" s="3">
        <f>tblDollar[[#This Row],[Naira_Amount]]</f>
        <v>7000</v>
      </c>
      <c r="G2" s="9">
        <f>FLOOR(tblDollar[[#This Row],[Naira_Amount]]/tblDollar[[#This Row],[Exchange_Rate]],0.01)</f>
        <v>4.71</v>
      </c>
      <c r="H2">
        <f>tblDollar[[#This Row],[USD_Amount]]*tblDollar[[#This Row],[Exchange_Rate]]</f>
        <v>6994.35</v>
      </c>
      <c r="I2">
        <f>tblDollar[[#This Row],[Naira_Amount]]-tblDollar[[#This Row],[Naira_Used]]</f>
        <v>5.6499999999996362</v>
      </c>
      <c r="J2">
        <f>SUM(INDEX(tblDollar[Naira_Rollover],1):tblDollar[[#This Row],[Naira_Rollover]])</f>
        <v>5.6499999999996362</v>
      </c>
      <c r="K2" t="str" cm="1">
        <f t="array" ref="K2">IFERROR(_xlfn.TEXTJOIN(",",TRUE,_xlfn.UNIQUE(_xlfn._xlws.FILTER(TblSavings[Saver_Name],TblSavings[Dollar_Purchase_ID]=tblDollar[[#This Row],[Dollar_Purchase_ID]]))),"")</f>
        <v>Cecilia,Cyril</v>
      </c>
      <c r="L2" t="s">
        <v>48</v>
      </c>
    </row>
    <row r="3" spans="1:12" x14ac:dyDescent="0.25">
      <c r="A3" t="str" cm="1">
        <f t="array" ref="A3">"D"&amp;TEXT(ROW()-ROW(tblDollar[#Headers]),"000")</f>
        <v>D002</v>
      </c>
      <c r="B3" s="8">
        <v>46046</v>
      </c>
      <c r="C3" s="8" t="str">
        <f>TEXT(tblDollar[[#This Row],[Purchase_Date]],"mmm")</f>
        <v>Jan</v>
      </c>
      <c r="D3">
        <v>1495</v>
      </c>
      <c r="E3" s="11">
        <f>SUMIFS(TblSavings[Amount_Paid_NGN],TblSavings[Dollar_Purchase_ID],tblDollar[[#This Row],[Dollar_Purchase_ID]])</f>
        <v>3000</v>
      </c>
      <c r="F3" s="3">
        <f>tblDollar[[#This Row],[Naira_Amount]]</f>
        <v>3000</v>
      </c>
      <c r="G3" s="9">
        <f>FLOOR(tblDollar[[#This Row],[Naira_Amount]]/tblDollar[[#This Row],[Exchange_Rate]],0.01)</f>
        <v>2</v>
      </c>
      <c r="H3">
        <f>tblDollar[[#This Row],[USD_Amount]]*tblDollar[[#This Row],[Exchange_Rate]]</f>
        <v>2990</v>
      </c>
      <c r="I3" s="11">
        <f>tblDollar[[#This Row],[Naira_Amount]]-tblDollar[[#This Row],[Naira_Used]]</f>
        <v>10</v>
      </c>
      <c r="J3" s="11">
        <f>SUM(INDEX(tblDollar[Naira_Rollover],1):tblDollar[[#This Row],[Naira_Rollover]])</f>
        <v>15.649999999999636</v>
      </c>
      <c r="K3" s="11" t="str" cm="1">
        <f t="array" ref="K3">IFERROR(_xlfn.TEXTJOIN(",",TRUE,_xlfn.UNIQUE(_xlfn._xlws.FILTER(TblSavings[Saver_Name],TblSavings[Dollar_Purchase_ID]=tblDollar[[#This Row],[Dollar_Purchase_ID]]))),"")</f>
        <v>Cyril</v>
      </c>
      <c r="L3" t="s">
        <v>57</v>
      </c>
    </row>
    <row r="4" spans="1:12" x14ac:dyDescent="0.25">
      <c r="A4" t="str" cm="1">
        <f t="array" ref="A4">"D"&amp;TEXT(ROW()-ROW(tblDollar[#Headers]),"000")</f>
        <v>D003</v>
      </c>
      <c r="B4" s="8">
        <v>46050</v>
      </c>
      <c r="C4" s="8" t="str">
        <f>TEXT(tblDollar[[#This Row],[Purchase_Date]],"mmm")</f>
        <v>Jan</v>
      </c>
      <c r="D4">
        <v>1495</v>
      </c>
      <c r="E4" s="11">
        <f>SUMIFS(TblSavings[Amount_Paid_NGN],TblSavings[Dollar_Purchase_ID],tblDollar[[#This Row],[Dollar_Purchase_ID]])</f>
        <v>5000</v>
      </c>
      <c r="F4" s="3">
        <f>tblDollar[[#This Row],[Naira_Amount]]</f>
        <v>5000</v>
      </c>
      <c r="G4" s="9">
        <f>FLOOR(tblDollar[[#This Row],[Naira_Amount]]/tblDollar[[#This Row],[Exchange_Rate]],0.01)</f>
        <v>3.34</v>
      </c>
      <c r="H4">
        <f>tblDollar[[#This Row],[USD_Amount]]*tblDollar[[#This Row],[Exchange_Rate]]</f>
        <v>4993.3</v>
      </c>
      <c r="I4" s="11">
        <f>tblDollar[[#This Row],[Naira_Amount]]-tblDollar[[#This Row],[Naira_Used]]</f>
        <v>6.6999999999998181</v>
      </c>
      <c r="J4" s="11">
        <f>SUM(INDEX(tblDollar[Naira_Rollover],1):tblDollar[[#This Row],[Naira_Rollover]])</f>
        <v>22.349999999999454</v>
      </c>
      <c r="K4" s="11" t="str" cm="1">
        <f t="array" ref="K4">IFERROR(_xlfn.TEXTJOIN(",",TRUE,_xlfn.UNIQUE(_xlfn._xlws.FILTER(TblSavings[Saver_Name],TblSavings[Dollar_Purchase_ID]=tblDollar[[#This Row],[Dollar_Purchase_ID]]))),"")</f>
        <v>Hilda</v>
      </c>
      <c r="L4" t="s">
        <v>57</v>
      </c>
    </row>
    <row r="5" spans="1:12" x14ac:dyDescent="0.25">
      <c r="A5" t="str" cm="1">
        <f t="array" ref="A5">"D"&amp;TEXT(ROW()-ROW(tblDollar[#Headers]),"000")</f>
        <v>D004</v>
      </c>
      <c r="B5" s="8">
        <v>46052</v>
      </c>
      <c r="C5" s="8" t="str">
        <f>TEXT(tblDollar[[#This Row],[Purchase_Date]],"mmm")</f>
        <v>Jan</v>
      </c>
      <c r="D5">
        <v>1495</v>
      </c>
      <c r="E5" s="11">
        <f>SUMIFS(TblSavings[Amount_Paid_NGN],TblSavings[Dollar_Purchase_ID],tblDollar[[#This Row],[Dollar_Purchase_ID]])</f>
        <v>7000</v>
      </c>
      <c r="F5" s="3">
        <f>tblDollar[[#This Row],[Naira_Amount]]</f>
        <v>7000</v>
      </c>
      <c r="G5" s="9">
        <f>FLOOR(tblDollar[[#This Row],[Naira_Amount]]/tblDollar[[#This Row],[Exchange_Rate]],0.01)</f>
        <v>4.68</v>
      </c>
      <c r="H5">
        <f>tblDollar[[#This Row],[USD_Amount]]*tblDollar[[#This Row],[Exchange_Rate]]</f>
        <v>6996.5999999999995</v>
      </c>
      <c r="I5" s="11">
        <f>tblDollar[[#This Row],[Naira_Amount]]-tblDollar[[#This Row],[Naira_Used]]</f>
        <v>3.4000000000005457</v>
      </c>
      <c r="J5" s="11">
        <f>SUM(INDEX(tblDollar[Naira_Rollover],1):tblDollar[[#This Row],[Naira_Rollover]])</f>
        <v>25.75</v>
      </c>
      <c r="K5" s="11" t="str" cm="1">
        <f t="array" ref="K5">IFERROR(_xlfn.TEXTJOIN(",",TRUE,_xlfn.UNIQUE(_xlfn._xlws.FILTER(TblSavings[Saver_Name],TblSavings[Dollar_Purchase_ID]=tblDollar[[#This Row],[Dollar_Purchase_ID]]))),"")</f>
        <v>Bibiana,Cyril</v>
      </c>
      <c r="L5" t="s">
        <v>62</v>
      </c>
    </row>
  </sheetData>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6</vt:i4>
      </vt:variant>
    </vt:vector>
  </HeadingPairs>
  <TitlesOfParts>
    <vt:vector size="23" baseType="lpstr">
      <vt:lpstr>PT_Transactions</vt:lpstr>
      <vt:lpstr>Dashboad_Overview</vt:lpstr>
      <vt:lpstr>PT_Weekly_Compliance</vt:lpstr>
      <vt:lpstr>PT_Missed_Weeks</vt:lpstr>
      <vt:lpstr>PT_Payment_Behaviour</vt:lpstr>
      <vt:lpstr>PT_Cummulative_Savings</vt:lpstr>
      <vt:lpstr>PT_Actual_vs_Expected</vt:lpstr>
      <vt:lpstr>Savings_Transactions</vt:lpstr>
      <vt:lpstr>Saver_Status_Summary</vt:lpstr>
      <vt:lpstr>Savers</vt:lpstr>
      <vt:lpstr>Weekly_Target</vt:lpstr>
      <vt:lpstr>PT_USD_Summary</vt:lpstr>
      <vt:lpstr>PT_Naira_Usage</vt:lpstr>
      <vt:lpstr>PT_Exchange_Rate</vt:lpstr>
      <vt:lpstr>Dashboard_FX</vt:lpstr>
      <vt:lpstr>PT_Purchase_Frequency</vt:lpstr>
      <vt:lpstr>Dollar Purchase</vt:lpstr>
      <vt:lpstr>BulkMin</vt:lpstr>
      <vt:lpstr>CatchUpMax</vt:lpstr>
      <vt:lpstr>CatcUpMin</vt:lpstr>
      <vt:lpstr>SaversList</vt:lpstr>
      <vt:lpstr>WeeklyAmount</vt:lpstr>
      <vt:lpstr>WeeksPerYear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Cyril Igereh</dc:creator>
  <cp:lastModifiedBy>Cyril Igereh</cp:lastModifiedBy>
  <dcterms:created xsi:type="dcterms:W3CDTF">2026-01-10T12:42:42Z</dcterms:created>
  <dcterms:modified xsi:type="dcterms:W3CDTF">2026-04-20T16:03:43Z</dcterms:modified>
</cp:coreProperties>
</file>